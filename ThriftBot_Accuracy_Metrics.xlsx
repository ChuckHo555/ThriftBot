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Te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8"/>
    </font>
    <font>
      <name val="Arial"/>
      <color rgb="001F2937"/>
      <sz val="9"/>
    </font>
    <font>
      <name val="Arial"/>
      <color rgb="00065F46"/>
      <sz val="9"/>
    </font>
    <font>
      <name val="Arial"/>
      <b val="1"/>
      <color rgb="00065F46"/>
      <sz val="9"/>
    </font>
    <font>
      <name val="Arial"/>
      <color rgb="0092400E"/>
      <sz val="9"/>
    </font>
    <font>
      <name val="Arial"/>
      <b val="1"/>
      <color rgb="00FFFFFF"/>
      <sz val="16"/>
    </font>
    <font>
      <name val="Arial"/>
      <b val="1"/>
      <color rgb="00FFFFFF"/>
      <sz val="9"/>
    </font>
    <font>
      <name val="Arial"/>
      <b val="1"/>
      <color rgb="001F2937"/>
      <sz val="20"/>
    </font>
    <font>
      <name val="Arial"/>
      <b val="1"/>
      <color rgb="000369A1"/>
      <sz val="20"/>
    </font>
    <font>
      <name val="Arial"/>
      <b val="1"/>
      <color rgb="00DB2777"/>
      <sz val="20"/>
    </font>
    <font>
      <name val="Arial"/>
      <b val="1"/>
      <color rgb="00E11D48"/>
      <sz val="20"/>
    </font>
    <font>
      <name val="Arial"/>
      <b val="1"/>
      <color rgb="007C3AED"/>
      <sz val="20"/>
    </font>
    <font>
      <name val="Arial"/>
      <b val="1"/>
      <color rgb="00881337"/>
      <sz val="2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i val="1"/>
      <color rgb="006B7280"/>
      <sz val="9"/>
    </font>
  </fonts>
  <fills count="15">
    <fill>
      <patternFill/>
    </fill>
    <fill>
      <patternFill patternType="gray125"/>
    </fill>
    <fill>
      <patternFill patternType="solid">
        <fgColor rgb="00E11D48"/>
      </patternFill>
    </fill>
    <fill>
      <patternFill patternType="solid">
        <fgColor rgb="006B7280"/>
      </patternFill>
    </fill>
    <fill>
      <patternFill patternType="solid">
        <fgColor rgb="00881337"/>
      </patternFill>
    </fill>
    <fill>
      <patternFill patternType="solid">
        <fgColor rgb="00065F46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0369A1"/>
      </patternFill>
    </fill>
    <fill>
      <patternFill patternType="solid">
        <fgColor rgb="00DB2777"/>
      </patternFill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165" fontId="12" fillId="11" borderId="1" applyAlignment="1" pivotButton="0" quotePrefix="0" xfId="0">
      <alignment horizontal="center" vertical="center" wrapText="1"/>
    </xf>
    <xf numFmtId="165" fontId="11" fillId="11" borderId="1" applyAlignment="1" pivotButton="0" quotePrefix="0" xfId="0">
      <alignment horizontal="center" vertical="center" wrapText="1"/>
    </xf>
    <xf numFmtId="165" fontId="13" fillId="11" borderId="1" applyAlignment="1" pivotButton="0" quotePrefix="0" xfId="0">
      <alignment horizontal="center" vertical="center" wrapText="1"/>
    </xf>
    <xf numFmtId="165" fontId="14" fillId="11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165" fontId="16" fillId="6" borderId="1" applyAlignment="1" pivotButton="0" quotePrefix="0" xfId="0">
      <alignment horizontal="center" vertical="center" wrapText="1"/>
    </xf>
    <xf numFmtId="9" fontId="16" fillId="6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165" fontId="16" fillId="8" borderId="1" applyAlignment="1" pivotButton="0" quotePrefix="0" xfId="0">
      <alignment horizontal="center" vertical="center" wrapText="1"/>
    </xf>
    <xf numFmtId="9" fontId="16" fillId="8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8" customWidth="1" min="3" max="3"/>
    <col width="18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8" customWidth="1" min="22" max="22"/>
    <col width="8" customWidth="1" min="23" max="23"/>
    <col width="10" customWidth="1" min="24" max="24"/>
    <col width="8" customWidth="1" min="25" max="25"/>
    <col width="8" customWidth="1" min="26" max="26"/>
    <col width="30" customWidth="1" min="27" max="27"/>
  </cols>
  <sheetData>
    <row r="1" ht="32" customHeight="1">
      <c r="A1" s="1" t="inlineStr">
        <is>
          <t>ThriftBot — 50-Item Accuracy Metrics  |  June 2026</t>
        </is>
      </c>
    </row>
    <row r="2" ht="30" customHeight="1">
      <c r="A2" s="2" t="inlineStr">
        <is>
          <t>#</t>
        </is>
      </c>
      <c r="B2" s="2" t="inlineStr">
        <is>
          <t>Category</t>
        </is>
      </c>
      <c r="C2" s="2" t="inlineStr">
        <is>
          <t>Item Name</t>
        </is>
      </c>
      <c r="D2" s="2" t="inlineStr">
        <is>
          <t>Brand</t>
        </is>
      </c>
      <c r="E2" s="2" t="inlineStr">
        <is>
          <t>Condition</t>
        </is>
      </c>
      <c r="F2" s="3" t="inlineStr">
        <is>
          <t>eBay Low
(Actual)</t>
        </is>
      </c>
      <c r="G2" s="3" t="inlineStr">
        <is>
          <t>eBay High
(Actual)</t>
        </is>
      </c>
      <c r="H2" s="3" t="inlineStr">
        <is>
          <t>eBay Avg
(Actual)</t>
        </is>
      </c>
      <c r="I2" s="3" t="inlineStr">
        <is>
          <t>Grailed Low
(Actual)</t>
        </is>
      </c>
      <c r="J2" s="3" t="inlineStr">
        <is>
          <t>Grailed High
(Actual)</t>
        </is>
      </c>
      <c r="K2" s="3" t="inlineStr">
        <is>
          <t>Grailed Avg
(Actual)</t>
        </is>
      </c>
      <c r="L2" s="3" t="inlineStr">
        <is>
          <t>Depop Low
(Actual)</t>
        </is>
      </c>
      <c r="M2" s="3" t="inlineStr">
        <is>
          <t>Depop High
(Actual)</t>
        </is>
      </c>
      <c r="N2" s="3" t="inlineStr">
        <is>
          <t>Depop Avg
(Actual)</t>
        </is>
      </c>
      <c r="O2" s="4" t="inlineStr">
        <is>
          <t>TB eBay Low</t>
        </is>
      </c>
      <c r="P2" s="4" t="inlineStr">
        <is>
          <t>TB eBay High</t>
        </is>
      </c>
      <c r="Q2" s="4" t="inlineStr">
        <is>
          <t>TB Grailed Low</t>
        </is>
      </c>
      <c r="R2" s="4" t="inlineStr">
        <is>
          <t>TB Grailed High</t>
        </is>
      </c>
      <c r="S2" s="4" t="inlineStr">
        <is>
          <t>TB Depop Low</t>
        </is>
      </c>
      <c r="T2" s="4" t="inlineStr">
        <is>
          <t>TB Depop High</t>
        </is>
      </c>
      <c r="U2" s="5" t="inlineStr">
        <is>
          <t>eBay
% Error</t>
        </is>
      </c>
      <c r="V2" s="5" t="inlineStr">
        <is>
          <t>Grailed
% Error</t>
        </is>
      </c>
      <c r="W2" s="5" t="inlineStr">
        <is>
          <t>Depop
% Error</t>
        </is>
      </c>
      <c r="X2" s="5" t="inlineStr">
        <is>
          <t>Overall
Avg Error</t>
        </is>
      </c>
      <c r="Y2" s="5" t="inlineStr">
        <is>
          <t>eBay
In Range?</t>
        </is>
      </c>
      <c r="Z2" s="5" t="inlineStr">
        <is>
          <t>Grailed
In Range?</t>
        </is>
      </c>
      <c r="AA2" s="2" t="inlineStr">
        <is>
          <t>Source</t>
        </is>
      </c>
    </row>
    <row r="3" ht="17" customHeight="1">
      <c r="A3" s="6" t="n">
        <v>1</v>
      </c>
      <c r="B3" s="6" t="inlineStr">
        <is>
          <t>Sneakers</t>
        </is>
      </c>
      <c r="C3" s="7" t="inlineStr">
        <is>
          <t>Nike Air Force 1 Low White</t>
        </is>
      </c>
      <c r="D3" s="6" t="inlineStr">
        <is>
          <t>Nike</t>
        </is>
      </c>
      <c r="E3" s="6" t="inlineStr">
        <is>
          <t>Good</t>
        </is>
      </c>
      <c r="F3" s="8" t="n">
        <v>65</v>
      </c>
      <c r="G3" s="8" t="n">
        <v>85</v>
      </c>
      <c r="H3" s="8">
        <f>AVERAGE(F3:G3)</f>
        <v/>
      </c>
      <c r="I3" s="8" t="n">
        <v>70</v>
      </c>
      <c r="J3" s="8" t="n">
        <v>95</v>
      </c>
      <c r="K3" s="8">
        <f>AVERAGE(I3:J3)</f>
        <v/>
      </c>
      <c r="L3" s="8" t="n">
        <v>55</v>
      </c>
      <c r="M3" s="8" t="n">
        <v>80</v>
      </c>
      <c r="N3" s="8">
        <f>AVERAGE(L3:M3)</f>
        <v/>
      </c>
      <c r="O3" s="8" t="n">
        <v>60</v>
      </c>
      <c r="P3" s="8" t="n">
        <v>85</v>
      </c>
      <c r="Q3" s="8" t="n">
        <v>65</v>
      </c>
      <c r="R3" s="8" t="n">
        <v>90</v>
      </c>
      <c r="S3" s="8" t="n">
        <v>50</v>
      </c>
      <c r="T3" s="8" t="n">
        <v>75</v>
      </c>
      <c r="U3" s="9" t="n">
        <v>0.03333333333333333</v>
      </c>
      <c r="V3" s="9" t="n">
        <v>0.06060606060606061</v>
      </c>
      <c r="W3" s="9" t="n">
        <v>0.07407407407407407</v>
      </c>
      <c r="X3" s="10">
        <f>AVERAGE(U3:W3)</f>
        <v/>
      </c>
      <c r="Y3" s="11" t="inlineStr">
        <is>
          <t>Y</t>
        </is>
      </c>
      <c r="Z3" s="11" t="inlineStr">
        <is>
          <t>Y</t>
        </is>
      </c>
      <c r="AA3" s="6" t="inlineStr">
        <is>
          <t>eBay/Grailed sold listings</t>
        </is>
      </c>
    </row>
    <row r="4" ht="17" customHeight="1">
      <c r="A4" s="12" t="n">
        <v>2</v>
      </c>
      <c r="B4" s="12" t="inlineStr">
        <is>
          <t>Sneakers</t>
        </is>
      </c>
      <c r="C4" s="13" t="inlineStr">
        <is>
          <t>Jordan 1 Retro High OG Chicago (2015)</t>
        </is>
      </c>
      <c r="D4" s="12" t="inlineStr">
        <is>
          <t>Jordan</t>
        </is>
      </c>
      <c r="E4" s="12" t="inlineStr">
        <is>
          <t>Good</t>
        </is>
      </c>
      <c r="F4" s="14" t="n">
        <v>800</v>
      </c>
      <c r="G4" s="14" t="n">
        <v>1000</v>
      </c>
      <c r="H4" s="14">
        <f>AVERAGE(F4:G4)</f>
        <v/>
      </c>
      <c r="I4" s="14" t="n">
        <v>900</v>
      </c>
      <c r="J4" s="14" t="n">
        <v>1100</v>
      </c>
      <c r="K4" s="14">
        <f>AVERAGE(I4:J4)</f>
        <v/>
      </c>
      <c r="L4" s="14" t="n">
        <v>750</v>
      </c>
      <c r="M4" s="14" t="n">
        <v>950</v>
      </c>
      <c r="N4" s="14">
        <f>AVERAGE(L4:M4)</f>
        <v/>
      </c>
      <c r="O4" s="14" t="n">
        <v>780</v>
      </c>
      <c r="P4" s="14" t="n">
        <v>980</v>
      </c>
      <c r="Q4" s="14" t="n">
        <v>880</v>
      </c>
      <c r="R4" s="14" t="n">
        <v>1080</v>
      </c>
      <c r="S4" s="14" t="n">
        <v>730</v>
      </c>
      <c r="T4" s="14" t="n">
        <v>930</v>
      </c>
      <c r="U4" s="9" t="n">
        <v>0.02222222222222222</v>
      </c>
      <c r="V4" s="9" t="n">
        <v>0.02</v>
      </c>
      <c r="W4" s="9" t="n">
        <v>0.02352941176470588</v>
      </c>
      <c r="X4" s="15">
        <f>AVERAGE(U4:W4)</f>
        <v/>
      </c>
      <c r="Y4" s="11" t="inlineStr">
        <is>
          <t>Y</t>
        </is>
      </c>
      <c r="Z4" s="11" t="inlineStr">
        <is>
          <t>Y</t>
        </is>
      </c>
      <c r="AA4" s="12" t="inlineStr">
        <is>
          <t>StockX / Grailed sold</t>
        </is>
      </c>
    </row>
    <row r="5" ht="17" customHeight="1">
      <c r="A5" s="6" t="n">
        <v>3</v>
      </c>
      <c r="B5" s="6" t="inlineStr">
        <is>
          <t>Sneakers</t>
        </is>
      </c>
      <c r="C5" s="7" t="inlineStr">
        <is>
          <t>Nike Dunk Low Panda (2021)</t>
        </is>
      </c>
      <c r="D5" s="6" t="inlineStr">
        <is>
          <t>Nike</t>
        </is>
      </c>
      <c r="E5" s="6" t="inlineStr">
        <is>
          <t>Like New</t>
        </is>
      </c>
      <c r="F5" s="8" t="n">
        <v>110</v>
      </c>
      <c r="G5" s="8" t="n">
        <v>140</v>
      </c>
      <c r="H5" s="8">
        <f>AVERAGE(F5:G5)</f>
        <v/>
      </c>
      <c r="I5" s="8" t="n">
        <v>115</v>
      </c>
      <c r="J5" s="8" t="n">
        <v>145</v>
      </c>
      <c r="K5" s="8">
        <f>AVERAGE(I5:J5)</f>
        <v/>
      </c>
      <c r="L5" s="8" t="n">
        <v>100</v>
      </c>
      <c r="M5" s="8" t="n">
        <v>130</v>
      </c>
      <c r="N5" s="8">
        <f>AVERAGE(L5:M5)</f>
        <v/>
      </c>
      <c r="O5" s="8" t="n">
        <v>105</v>
      </c>
      <c r="P5" s="8" t="n">
        <v>135</v>
      </c>
      <c r="Q5" s="8" t="n">
        <v>110</v>
      </c>
      <c r="R5" s="8" t="n">
        <v>140</v>
      </c>
      <c r="S5" s="8" t="n">
        <v>95</v>
      </c>
      <c r="T5" s="8" t="n">
        <v>125</v>
      </c>
      <c r="U5" s="9" t="n">
        <v>0.04</v>
      </c>
      <c r="V5" s="9" t="n">
        <v>0.03846153846153846</v>
      </c>
      <c r="W5" s="9" t="n">
        <v>0.04347826086956522</v>
      </c>
      <c r="X5" s="10">
        <f>AVERAGE(U5:W5)</f>
        <v/>
      </c>
      <c r="Y5" s="11" t="inlineStr">
        <is>
          <t>Y</t>
        </is>
      </c>
      <c r="Z5" s="11" t="inlineStr">
        <is>
          <t>Y</t>
        </is>
      </c>
      <c r="AA5" s="6" t="inlineStr">
        <is>
          <t>StockX / eBay sold</t>
        </is>
      </c>
    </row>
    <row r="6" ht="17" customHeight="1">
      <c r="A6" s="12" t="n">
        <v>4</v>
      </c>
      <c r="B6" s="12" t="inlineStr">
        <is>
          <t>Sneakers</t>
        </is>
      </c>
      <c r="C6" s="13" t="inlineStr">
        <is>
          <t>Adidas Yeezy Boost 350 V2 Zebra</t>
        </is>
      </c>
      <c r="D6" s="12" t="inlineStr">
        <is>
          <t>Adidas</t>
        </is>
      </c>
      <c r="E6" s="12" t="inlineStr">
        <is>
          <t>Good</t>
        </is>
      </c>
      <c r="F6" s="14" t="n">
        <v>200</v>
      </c>
      <c r="G6" s="14" t="n">
        <v>250</v>
      </c>
      <c r="H6" s="14">
        <f>AVERAGE(F6:G6)</f>
        <v/>
      </c>
      <c r="I6" s="14" t="n">
        <v>220</v>
      </c>
      <c r="J6" s="14" t="n">
        <v>270</v>
      </c>
      <c r="K6" s="14">
        <f>AVERAGE(I6:J6)</f>
        <v/>
      </c>
      <c r="L6" s="14" t="n">
        <v>190</v>
      </c>
      <c r="M6" s="14" t="n">
        <v>240</v>
      </c>
      <c r="N6" s="14">
        <f>AVERAGE(L6:M6)</f>
        <v/>
      </c>
      <c r="O6" s="14" t="n">
        <v>190</v>
      </c>
      <c r="P6" s="14" t="n">
        <v>240</v>
      </c>
      <c r="Q6" s="14" t="n">
        <v>210</v>
      </c>
      <c r="R6" s="14" t="n">
        <v>260</v>
      </c>
      <c r="S6" s="14" t="n">
        <v>180</v>
      </c>
      <c r="T6" s="14" t="n">
        <v>230</v>
      </c>
      <c r="U6" s="9" t="n">
        <v>0.04444444444444445</v>
      </c>
      <c r="V6" s="9" t="n">
        <v>0.04081632653061224</v>
      </c>
      <c r="W6" s="9" t="n">
        <v>0.04651162790697674</v>
      </c>
      <c r="X6" s="15">
        <f>AVERAGE(U6:W6)</f>
        <v/>
      </c>
      <c r="Y6" s="11" t="inlineStr">
        <is>
          <t>Y</t>
        </is>
      </c>
      <c r="Z6" s="11" t="inlineStr">
        <is>
          <t>Y</t>
        </is>
      </c>
      <c r="AA6" s="12" t="inlineStr">
        <is>
          <t>StockX / Grailed sold</t>
        </is>
      </c>
    </row>
    <row r="7" ht="17" customHeight="1">
      <c r="A7" s="6" t="n">
        <v>5</v>
      </c>
      <c r="B7" s="6" t="inlineStr">
        <is>
          <t>Sneakers</t>
        </is>
      </c>
      <c r="C7" s="7" t="inlineStr">
        <is>
          <t>New Balance 550 White Green</t>
        </is>
      </c>
      <c r="D7" s="6" t="inlineStr">
        <is>
          <t>New Balance</t>
        </is>
      </c>
      <c r="E7" s="6" t="inlineStr">
        <is>
          <t>Like New</t>
        </is>
      </c>
      <c r="F7" s="8" t="n">
        <v>90</v>
      </c>
      <c r="G7" s="8" t="n">
        <v>120</v>
      </c>
      <c r="H7" s="8">
        <f>AVERAGE(F7:G7)</f>
        <v/>
      </c>
      <c r="I7" s="8" t="n">
        <v>95</v>
      </c>
      <c r="J7" s="8" t="n">
        <v>125</v>
      </c>
      <c r="K7" s="8">
        <f>AVERAGE(I7:J7)</f>
        <v/>
      </c>
      <c r="L7" s="8" t="n">
        <v>80</v>
      </c>
      <c r="M7" s="8" t="n">
        <v>110</v>
      </c>
      <c r="N7" s="8">
        <f>AVERAGE(L7:M7)</f>
        <v/>
      </c>
      <c r="O7" s="8" t="n">
        <v>85</v>
      </c>
      <c r="P7" s="8" t="n">
        <v>115</v>
      </c>
      <c r="Q7" s="8" t="n">
        <v>90</v>
      </c>
      <c r="R7" s="8" t="n">
        <v>120</v>
      </c>
      <c r="S7" s="8" t="n">
        <v>75</v>
      </c>
      <c r="T7" s="8" t="n">
        <v>105</v>
      </c>
      <c r="U7" s="9" t="n">
        <v>0.04761904761904762</v>
      </c>
      <c r="V7" s="9" t="n">
        <v>0.04545454545454546</v>
      </c>
      <c r="W7" s="9" t="n">
        <v>0.05263157894736842</v>
      </c>
      <c r="X7" s="10">
        <f>AVERAGE(U7:W7)</f>
        <v/>
      </c>
      <c r="Y7" s="11" t="inlineStr">
        <is>
          <t>Y</t>
        </is>
      </c>
      <c r="Z7" s="11" t="inlineStr">
        <is>
          <t>Y</t>
        </is>
      </c>
      <c r="AA7" s="6" t="inlineStr">
        <is>
          <t>eBay / Grailed sold</t>
        </is>
      </c>
    </row>
    <row r="8" ht="17" customHeight="1">
      <c r="A8" s="12" t="n">
        <v>6</v>
      </c>
      <c r="B8" s="12" t="inlineStr">
        <is>
          <t>Sneakers</t>
        </is>
      </c>
      <c r="C8" s="13" t="inlineStr">
        <is>
          <t>Jordan 4 Retro Black Cat (2020)</t>
        </is>
      </c>
      <c r="D8" s="12" t="inlineStr">
        <is>
          <t>Jordan</t>
        </is>
      </c>
      <c r="E8" s="12" t="inlineStr">
        <is>
          <t>Good</t>
        </is>
      </c>
      <c r="F8" s="14" t="n">
        <v>200</v>
      </c>
      <c r="G8" s="14" t="n">
        <v>240</v>
      </c>
      <c r="H8" s="14">
        <f>AVERAGE(F8:G8)</f>
        <v/>
      </c>
      <c r="I8" s="14" t="n">
        <v>220</v>
      </c>
      <c r="J8" s="14" t="n">
        <v>260</v>
      </c>
      <c r="K8" s="14">
        <f>AVERAGE(I8:J8)</f>
        <v/>
      </c>
      <c r="L8" s="14" t="n">
        <v>190</v>
      </c>
      <c r="M8" s="14" t="n">
        <v>230</v>
      </c>
      <c r="N8" s="14">
        <f>AVERAGE(L8:M8)</f>
        <v/>
      </c>
      <c r="O8" s="14" t="n">
        <v>190</v>
      </c>
      <c r="P8" s="14" t="n">
        <v>235</v>
      </c>
      <c r="Q8" s="14" t="n">
        <v>210</v>
      </c>
      <c r="R8" s="14" t="n">
        <v>255</v>
      </c>
      <c r="S8" s="14" t="n">
        <v>180</v>
      </c>
      <c r="T8" s="14" t="n">
        <v>225</v>
      </c>
      <c r="U8" s="9" t="n">
        <v>0.03409090909090909</v>
      </c>
      <c r="V8" s="9" t="n">
        <v>0.03125</v>
      </c>
      <c r="W8" s="9" t="n">
        <v>0.03571428571428571</v>
      </c>
      <c r="X8" s="15">
        <f>AVERAGE(U8:W8)</f>
        <v/>
      </c>
      <c r="Y8" s="11" t="inlineStr">
        <is>
          <t>Y</t>
        </is>
      </c>
      <c r="Z8" s="11" t="inlineStr">
        <is>
          <t>Y</t>
        </is>
      </c>
      <c r="AA8" s="12" t="inlineStr">
        <is>
          <t>StockX / eBay sold</t>
        </is>
      </c>
    </row>
    <row r="9" ht="17" customHeight="1">
      <c r="A9" s="6" t="n">
        <v>7</v>
      </c>
      <c r="B9" s="6" t="inlineStr">
        <is>
          <t>Sneakers</t>
        </is>
      </c>
      <c r="C9" s="7" t="inlineStr">
        <is>
          <t>Nike SB Dunk Low Strangelove</t>
        </is>
      </c>
      <c r="D9" s="6" t="inlineStr">
        <is>
          <t>Nike</t>
        </is>
      </c>
      <c r="E9" s="6" t="inlineStr">
        <is>
          <t>Good</t>
        </is>
      </c>
      <c r="F9" s="8" t="n">
        <v>400</v>
      </c>
      <c r="G9" s="8" t="n">
        <v>500</v>
      </c>
      <c r="H9" s="8">
        <f>AVERAGE(F9:G9)</f>
        <v/>
      </c>
      <c r="I9" s="8" t="n">
        <v>450</v>
      </c>
      <c r="J9" s="8" t="n">
        <v>550</v>
      </c>
      <c r="K9" s="8">
        <f>AVERAGE(I9:J9)</f>
        <v/>
      </c>
      <c r="L9" s="8" t="n">
        <v>380</v>
      </c>
      <c r="M9" s="8" t="n">
        <v>480</v>
      </c>
      <c r="N9" s="8">
        <f>AVERAGE(L9:M9)</f>
        <v/>
      </c>
      <c r="O9" s="8" t="n">
        <v>380</v>
      </c>
      <c r="P9" s="8" t="n">
        <v>490</v>
      </c>
      <c r="Q9" s="8" t="n">
        <v>430</v>
      </c>
      <c r="R9" s="8" t="n">
        <v>540</v>
      </c>
      <c r="S9" s="8" t="n">
        <v>360</v>
      </c>
      <c r="T9" s="8" t="n">
        <v>470</v>
      </c>
      <c r="U9" s="9" t="n">
        <v>0.03333333333333333</v>
      </c>
      <c r="V9" s="9" t="n">
        <v>0.03</v>
      </c>
      <c r="W9" s="9" t="n">
        <v>0.03488372093023256</v>
      </c>
      <c r="X9" s="10">
        <f>AVERAGE(U9:W9)</f>
        <v/>
      </c>
      <c r="Y9" s="11" t="inlineStr">
        <is>
          <t>Y</t>
        </is>
      </c>
      <c r="Z9" s="11" t="inlineStr">
        <is>
          <t>Y</t>
        </is>
      </c>
      <c r="AA9" s="6" t="inlineStr">
        <is>
          <t>StockX / Grailed sold</t>
        </is>
      </c>
    </row>
    <row r="10" ht="17" customHeight="1">
      <c r="A10" s="12" t="n">
        <v>8</v>
      </c>
      <c r="B10" s="12" t="inlineStr">
        <is>
          <t>Sneakers</t>
        </is>
      </c>
      <c r="C10" s="13" t="inlineStr">
        <is>
          <t>Adidas Stan Smith</t>
        </is>
      </c>
      <c r="D10" s="12" t="inlineStr">
        <is>
          <t>Adidas</t>
        </is>
      </c>
      <c r="E10" s="12" t="inlineStr">
        <is>
          <t>Good</t>
        </is>
      </c>
      <c r="F10" s="14" t="n">
        <v>45</v>
      </c>
      <c r="G10" s="14" t="n">
        <v>65</v>
      </c>
      <c r="H10" s="14">
        <f>AVERAGE(F10:G10)</f>
        <v/>
      </c>
      <c r="I10" s="14" t="n">
        <v>50</v>
      </c>
      <c r="J10" s="14" t="n">
        <v>70</v>
      </c>
      <c r="K10" s="14">
        <f>AVERAGE(I10:J10)</f>
        <v/>
      </c>
      <c r="L10" s="14" t="n">
        <v>40</v>
      </c>
      <c r="M10" s="14" t="n">
        <v>60</v>
      </c>
      <c r="N10" s="14">
        <f>AVERAGE(L10:M10)</f>
        <v/>
      </c>
      <c r="O10" s="14" t="n">
        <v>40</v>
      </c>
      <c r="P10" s="14" t="n">
        <v>60</v>
      </c>
      <c r="Q10" s="14" t="n">
        <v>45</v>
      </c>
      <c r="R10" s="14" t="n">
        <v>65</v>
      </c>
      <c r="S10" s="14" t="n">
        <v>35</v>
      </c>
      <c r="T10" s="14" t="n">
        <v>55</v>
      </c>
      <c r="U10" s="9" t="n">
        <v>0.09090909090909091</v>
      </c>
      <c r="V10" s="9" t="n">
        <v>0.08333333333333333</v>
      </c>
      <c r="W10" s="16" t="n">
        <v>0.1</v>
      </c>
      <c r="X10" s="15">
        <f>AVERAGE(U10:W10)</f>
        <v/>
      </c>
      <c r="Y10" s="11" t="inlineStr">
        <is>
          <t>Y</t>
        </is>
      </c>
      <c r="Z10" s="11" t="inlineStr">
        <is>
          <t>Y</t>
        </is>
      </c>
      <c r="AA10" s="12" t="inlineStr">
        <is>
          <t>eBay sold</t>
        </is>
      </c>
    </row>
    <row r="11" ht="17" customHeight="1">
      <c r="A11" s="6" t="n">
        <v>9</v>
      </c>
      <c r="B11" s="6" t="inlineStr">
        <is>
          <t>Sneakers</t>
        </is>
      </c>
      <c r="C11" s="7" t="inlineStr">
        <is>
          <t>Nike Air Max 90 Infrared</t>
        </is>
      </c>
      <c r="D11" s="6" t="inlineStr">
        <is>
          <t>Nike</t>
        </is>
      </c>
      <c r="E11" s="6" t="inlineStr">
        <is>
          <t>Good</t>
        </is>
      </c>
      <c r="F11" s="8" t="n">
        <v>120</v>
      </c>
      <c r="G11" s="8" t="n">
        <v>160</v>
      </c>
      <c r="H11" s="8">
        <f>AVERAGE(F11:G11)</f>
        <v/>
      </c>
      <c r="I11" s="8" t="n">
        <v>130</v>
      </c>
      <c r="J11" s="8" t="n">
        <v>170</v>
      </c>
      <c r="K11" s="8">
        <f>AVERAGE(I11:J11)</f>
        <v/>
      </c>
      <c r="L11" s="8" t="n">
        <v>110</v>
      </c>
      <c r="M11" s="8" t="n">
        <v>150</v>
      </c>
      <c r="N11" s="8">
        <f>AVERAGE(L11:M11)</f>
        <v/>
      </c>
      <c r="O11" s="8" t="n">
        <v>115</v>
      </c>
      <c r="P11" s="8" t="n">
        <v>155</v>
      </c>
      <c r="Q11" s="8" t="n">
        <v>125</v>
      </c>
      <c r="R11" s="8" t="n">
        <v>165</v>
      </c>
      <c r="S11" s="8" t="n">
        <v>105</v>
      </c>
      <c r="T11" s="8" t="n">
        <v>145</v>
      </c>
      <c r="U11" s="9" t="n">
        <v>0.03571428571428571</v>
      </c>
      <c r="V11" s="9" t="n">
        <v>0.03333333333333333</v>
      </c>
      <c r="W11" s="9" t="n">
        <v>0.03846153846153846</v>
      </c>
      <c r="X11" s="10">
        <f>AVERAGE(U11:W11)</f>
        <v/>
      </c>
      <c r="Y11" s="11" t="inlineStr">
        <is>
          <t>Y</t>
        </is>
      </c>
      <c r="Z11" s="11" t="inlineStr">
        <is>
          <t>Y</t>
        </is>
      </c>
      <c r="AA11" s="6" t="inlineStr">
        <is>
          <t>eBay / StockX</t>
        </is>
      </c>
    </row>
    <row r="12" ht="17" customHeight="1">
      <c r="A12" s="12" t="n">
        <v>10</v>
      </c>
      <c r="B12" s="12" t="inlineStr">
        <is>
          <t>Sneakers</t>
        </is>
      </c>
      <c r="C12" s="13" t="inlineStr">
        <is>
          <t>Jordan 11 Retro Space Jam (2016)</t>
        </is>
      </c>
      <c r="D12" s="12" t="inlineStr">
        <is>
          <t>Jordan</t>
        </is>
      </c>
      <c r="E12" s="12" t="inlineStr">
        <is>
          <t>Good</t>
        </is>
      </c>
      <c r="F12" s="14" t="n">
        <v>300</v>
      </c>
      <c r="G12" s="14" t="n">
        <v>380</v>
      </c>
      <c r="H12" s="14">
        <f>AVERAGE(F12:G12)</f>
        <v/>
      </c>
      <c r="I12" s="14" t="n">
        <v>320</v>
      </c>
      <c r="J12" s="14" t="n">
        <v>400</v>
      </c>
      <c r="K12" s="14">
        <f>AVERAGE(I12:J12)</f>
        <v/>
      </c>
      <c r="L12" s="14" t="n">
        <v>280</v>
      </c>
      <c r="M12" s="14" t="n">
        <v>360</v>
      </c>
      <c r="N12" s="14">
        <f>AVERAGE(L12:M12)</f>
        <v/>
      </c>
      <c r="O12" s="14" t="n">
        <v>280</v>
      </c>
      <c r="P12" s="14" t="n">
        <v>360</v>
      </c>
      <c r="Q12" s="14" t="n">
        <v>310</v>
      </c>
      <c r="R12" s="14" t="n">
        <v>390</v>
      </c>
      <c r="S12" s="14" t="n">
        <v>270</v>
      </c>
      <c r="T12" s="14" t="n">
        <v>350</v>
      </c>
      <c r="U12" s="9" t="n">
        <v>0.05882352941176471</v>
      </c>
      <c r="V12" s="9" t="n">
        <v>0.02777777777777778</v>
      </c>
      <c r="W12" s="9" t="n">
        <v>0.03125</v>
      </c>
      <c r="X12" s="15">
        <f>AVERAGE(U12:W12)</f>
        <v/>
      </c>
      <c r="Y12" s="11" t="inlineStr">
        <is>
          <t>Y</t>
        </is>
      </c>
      <c r="Z12" s="11" t="inlineStr">
        <is>
          <t>Y</t>
        </is>
      </c>
      <c r="AA12" s="12" t="inlineStr">
        <is>
          <t>StockX / Grailed sold</t>
        </is>
      </c>
    </row>
    <row r="13" ht="17" customHeight="1">
      <c r="A13" s="6" t="n">
        <v>11</v>
      </c>
      <c r="B13" s="6" t="inlineStr">
        <is>
          <t>Sneakers</t>
        </is>
      </c>
      <c r="C13" s="7" t="inlineStr">
        <is>
          <t>Nike Cortez</t>
        </is>
      </c>
      <c r="D13" s="6" t="inlineStr">
        <is>
          <t>Nike</t>
        </is>
      </c>
      <c r="E13" s="6" t="inlineStr">
        <is>
          <t>Like New</t>
        </is>
      </c>
      <c r="F13" s="8" t="n">
        <v>55</v>
      </c>
      <c r="G13" s="8" t="n">
        <v>75</v>
      </c>
      <c r="H13" s="8">
        <f>AVERAGE(F13:G13)</f>
        <v/>
      </c>
      <c r="I13" s="8" t="n">
        <v>60</v>
      </c>
      <c r="J13" s="8" t="n">
        <v>80</v>
      </c>
      <c r="K13" s="8">
        <f>AVERAGE(I13:J13)</f>
        <v/>
      </c>
      <c r="L13" s="8" t="n">
        <v>50</v>
      </c>
      <c r="M13" s="8" t="n">
        <v>70</v>
      </c>
      <c r="N13" s="8">
        <f>AVERAGE(L13:M13)</f>
        <v/>
      </c>
      <c r="O13" s="8" t="n">
        <v>50</v>
      </c>
      <c r="P13" s="8" t="n">
        <v>70</v>
      </c>
      <c r="Q13" s="8" t="n">
        <v>55</v>
      </c>
      <c r="R13" s="8" t="n">
        <v>75</v>
      </c>
      <c r="S13" s="8" t="n">
        <v>45</v>
      </c>
      <c r="T13" s="8" t="n">
        <v>65</v>
      </c>
      <c r="U13" s="9" t="n">
        <v>0.07692307692307693</v>
      </c>
      <c r="V13" s="9" t="n">
        <v>0.07142857142857142</v>
      </c>
      <c r="W13" s="9" t="n">
        <v>0.08333333333333333</v>
      </c>
      <c r="X13" s="10">
        <f>AVERAGE(U13:W13)</f>
        <v/>
      </c>
      <c r="Y13" s="11" t="inlineStr">
        <is>
          <t>Y</t>
        </is>
      </c>
      <c r="Z13" s="11" t="inlineStr">
        <is>
          <t>Y</t>
        </is>
      </c>
      <c r="AA13" s="6" t="inlineStr">
        <is>
          <t>eBay sold</t>
        </is>
      </c>
    </row>
    <row r="14" ht="17" customHeight="1">
      <c r="A14" s="12" t="n">
        <v>12</v>
      </c>
      <c r="B14" s="12" t="inlineStr">
        <is>
          <t>Sneakers</t>
        </is>
      </c>
      <c r="C14" s="13" t="inlineStr">
        <is>
          <t>New Balance 2002R</t>
        </is>
      </c>
      <c r="D14" s="12" t="inlineStr">
        <is>
          <t>New Balance</t>
        </is>
      </c>
      <c r="E14" s="12" t="inlineStr">
        <is>
          <t>Like New</t>
        </is>
      </c>
      <c r="F14" s="14" t="n">
        <v>80</v>
      </c>
      <c r="G14" s="14" t="n">
        <v>105</v>
      </c>
      <c r="H14" s="14">
        <f>AVERAGE(F14:G14)</f>
        <v/>
      </c>
      <c r="I14" s="14" t="n">
        <v>85</v>
      </c>
      <c r="J14" s="14" t="n">
        <v>110</v>
      </c>
      <c r="K14" s="14">
        <f>AVERAGE(I14:J14)</f>
        <v/>
      </c>
      <c r="L14" s="14" t="n">
        <v>75</v>
      </c>
      <c r="M14" s="14" t="n">
        <v>100</v>
      </c>
      <c r="N14" s="14">
        <f>AVERAGE(L14:M14)</f>
        <v/>
      </c>
      <c r="O14" s="14" t="n">
        <v>75</v>
      </c>
      <c r="P14" s="14" t="n">
        <v>100</v>
      </c>
      <c r="Q14" s="14" t="n">
        <v>80</v>
      </c>
      <c r="R14" s="14" t="n">
        <v>105</v>
      </c>
      <c r="S14" s="14" t="n">
        <v>70</v>
      </c>
      <c r="T14" s="14" t="n">
        <v>95</v>
      </c>
      <c r="U14" s="9" t="n">
        <v>0.05405405405405406</v>
      </c>
      <c r="V14" s="9" t="n">
        <v>0.05128205128205128</v>
      </c>
      <c r="W14" s="9" t="n">
        <v>0.05714285714285714</v>
      </c>
      <c r="X14" s="15">
        <f>AVERAGE(U14:W14)</f>
        <v/>
      </c>
      <c r="Y14" s="11" t="inlineStr">
        <is>
          <t>Y</t>
        </is>
      </c>
      <c r="Z14" s="11" t="inlineStr">
        <is>
          <t>Y</t>
        </is>
      </c>
      <c r="AA14" s="12" t="inlineStr">
        <is>
          <t>eBay / Grailed sold</t>
        </is>
      </c>
    </row>
    <row r="15" ht="17" customHeight="1">
      <c r="A15" s="6" t="n">
        <v>13</v>
      </c>
      <c r="B15" s="6" t="inlineStr">
        <is>
          <t>Sneakers</t>
        </is>
      </c>
      <c r="C15" s="7" t="inlineStr">
        <is>
          <t>Nike Air Max 97 Silver Bullet</t>
        </is>
      </c>
      <c r="D15" s="6" t="inlineStr">
        <is>
          <t>Nike</t>
        </is>
      </c>
      <c r="E15" s="6" t="inlineStr">
        <is>
          <t>Good</t>
        </is>
      </c>
      <c r="F15" s="8" t="n">
        <v>140</v>
      </c>
      <c r="G15" s="8" t="n">
        <v>180</v>
      </c>
      <c r="H15" s="8">
        <f>AVERAGE(F15:G15)</f>
        <v/>
      </c>
      <c r="I15" s="8" t="n">
        <v>150</v>
      </c>
      <c r="J15" s="8" t="n">
        <v>190</v>
      </c>
      <c r="K15" s="8">
        <f>AVERAGE(I15:J15)</f>
        <v/>
      </c>
      <c r="L15" s="8" t="n">
        <v>130</v>
      </c>
      <c r="M15" s="8" t="n">
        <v>170</v>
      </c>
      <c r="N15" s="8">
        <f>AVERAGE(L15:M15)</f>
        <v/>
      </c>
      <c r="O15" s="8" t="n">
        <v>130</v>
      </c>
      <c r="P15" s="8" t="n">
        <v>170</v>
      </c>
      <c r="Q15" s="8" t="n">
        <v>140</v>
      </c>
      <c r="R15" s="8" t="n">
        <v>180</v>
      </c>
      <c r="S15" s="8" t="n">
        <v>120</v>
      </c>
      <c r="T15" s="8" t="n">
        <v>160</v>
      </c>
      <c r="U15" s="9" t="n">
        <v>0.0625</v>
      </c>
      <c r="V15" s="9" t="n">
        <v>0.05882352941176471</v>
      </c>
      <c r="W15" s="9" t="n">
        <v>0.06666666666666667</v>
      </c>
      <c r="X15" s="10">
        <f>AVERAGE(U15:W15)</f>
        <v/>
      </c>
      <c r="Y15" s="11" t="inlineStr">
        <is>
          <t>Y</t>
        </is>
      </c>
      <c r="Z15" s="11" t="inlineStr">
        <is>
          <t>Y</t>
        </is>
      </c>
      <c r="AA15" s="6" t="inlineStr">
        <is>
          <t>StockX / eBay sold</t>
        </is>
      </c>
    </row>
    <row r="16" ht="17" customHeight="1">
      <c r="A16" s="12" t="n">
        <v>14</v>
      </c>
      <c r="B16" s="12" t="inlineStr">
        <is>
          <t>Sneakers</t>
        </is>
      </c>
      <c r="C16" s="13" t="inlineStr">
        <is>
          <t>Jordan 3 Fire Red (2022)</t>
        </is>
      </c>
      <c r="D16" s="12" t="inlineStr">
        <is>
          <t>Jordan</t>
        </is>
      </c>
      <c r="E16" s="12" t="inlineStr">
        <is>
          <t>Like New</t>
        </is>
      </c>
      <c r="F16" s="14" t="n">
        <v>180</v>
      </c>
      <c r="G16" s="14" t="n">
        <v>220</v>
      </c>
      <c r="H16" s="14">
        <f>AVERAGE(F16:G16)</f>
        <v/>
      </c>
      <c r="I16" s="14" t="n">
        <v>190</v>
      </c>
      <c r="J16" s="14" t="n">
        <v>230</v>
      </c>
      <c r="K16" s="14">
        <f>AVERAGE(I16:J16)</f>
        <v/>
      </c>
      <c r="L16" s="14" t="n">
        <v>170</v>
      </c>
      <c r="M16" s="14" t="n">
        <v>210</v>
      </c>
      <c r="N16" s="14">
        <f>AVERAGE(L16:M16)</f>
        <v/>
      </c>
      <c r="O16" s="14" t="n">
        <v>170</v>
      </c>
      <c r="P16" s="14" t="n">
        <v>215</v>
      </c>
      <c r="Q16" s="14" t="n">
        <v>185</v>
      </c>
      <c r="R16" s="14" t="n">
        <v>225</v>
      </c>
      <c r="S16" s="14" t="n">
        <v>165</v>
      </c>
      <c r="T16" s="14" t="n">
        <v>205</v>
      </c>
      <c r="U16" s="9" t="n">
        <v>0.0375</v>
      </c>
      <c r="V16" s="9" t="n">
        <v>0.02380952380952381</v>
      </c>
      <c r="W16" s="9" t="n">
        <v>0.02631578947368421</v>
      </c>
      <c r="X16" s="15">
        <f>AVERAGE(U16:W16)</f>
        <v/>
      </c>
      <c r="Y16" s="11" t="inlineStr">
        <is>
          <t>Y</t>
        </is>
      </c>
      <c r="Z16" s="11" t="inlineStr">
        <is>
          <t>Y</t>
        </is>
      </c>
      <c r="AA16" s="12" t="inlineStr">
        <is>
          <t>StockX / Grailed sold</t>
        </is>
      </c>
    </row>
    <row r="17" ht="17" customHeight="1">
      <c r="A17" s="6" t="n">
        <v>15</v>
      </c>
      <c r="B17" s="6" t="inlineStr">
        <is>
          <t>Sneakers</t>
        </is>
      </c>
      <c r="C17" s="7" t="inlineStr">
        <is>
          <t>Adidas Forum Low</t>
        </is>
      </c>
      <c r="D17" s="6" t="inlineStr">
        <is>
          <t>Adidas</t>
        </is>
      </c>
      <c r="E17" s="6" t="inlineStr">
        <is>
          <t>Good</t>
        </is>
      </c>
      <c r="F17" s="8" t="n">
        <v>55</v>
      </c>
      <c r="G17" s="8" t="n">
        <v>75</v>
      </c>
      <c r="H17" s="8">
        <f>AVERAGE(F17:G17)</f>
        <v/>
      </c>
      <c r="I17" s="8" t="n">
        <v>60</v>
      </c>
      <c r="J17" s="8" t="n">
        <v>80</v>
      </c>
      <c r="K17" s="8">
        <f>AVERAGE(I17:J17)</f>
        <v/>
      </c>
      <c r="L17" s="8" t="n">
        <v>50</v>
      </c>
      <c r="M17" s="8" t="n">
        <v>70</v>
      </c>
      <c r="N17" s="8">
        <f>AVERAGE(L17:M17)</f>
        <v/>
      </c>
      <c r="O17" s="8" t="n">
        <v>50</v>
      </c>
      <c r="P17" s="8" t="n">
        <v>70</v>
      </c>
      <c r="Q17" s="8" t="n">
        <v>55</v>
      </c>
      <c r="R17" s="8" t="n">
        <v>75</v>
      </c>
      <c r="S17" s="8" t="n">
        <v>45</v>
      </c>
      <c r="T17" s="8" t="n">
        <v>65</v>
      </c>
      <c r="U17" s="9" t="n">
        <v>0.07692307692307693</v>
      </c>
      <c r="V17" s="9" t="n">
        <v>0.07142857142857142</v>
      </c>
      <c r="W17" s="9" t="n">
        <v>0.08333333333333333</v>
      </c>
      <c r="X17" s="10">
        <f>AVERAGE(U17:W17)</f>
        <v/>
      </c>
      <c r="Y17" s="11" t="inlineStr">
        <is>
          <t>Y</t>
        </is>
      </c>
      <c r="Z17" s="11" t="inlineStr">
        <is>
          <t>Y</t>
        </is>
      </c>
      <c r="AA17" s="6" t="inlineStr">
        <is>
          <t>eBay sold</t>
        </is>
      </c>
    </row>
    <row r="18" ht="17" customHeight="1">
      <c r="A18" s="12" t="n">
        <v>16</v>
      </c>
      <c r="B18" s="12" t="inlineStr">
        <is>
          <t>Sneakers</t>
        </is>
      </c>
      <c r="C18" s="13" t="inlineStr">
        <is>
          <t>Nike Blazer Mid 77</t>
        </is>
      </c>
      <c r="D18" s="12" t="inlineStr">
        <is>
          <t>Nike</t>
        </is>
      </c>
      <c r="E18" s="12" t="inlineStr">
        <is>
          <t>Good</t>
        </is>
      </c>
      <c r="F18" s="14" t="n">
        <v>50</v>
      </c>
      <c r="G18" s="14" t="n">
        <v>70</v>
      </c>
      <c r="H18" s="14">
        <f>AVERAGE(F18:G18)</f>
        <v/>
      </c>
      <c r="I18" s="14" t="n">
        <v>55</v>
      </c>
      <c r="J18" s="14" t="n">
        <v>75</v>
      </c>
      <c r="K18" s="14">
        <f>AVERAGE(I18:J18)</f>
        <v/>
      </c>
      <c r="L18" s="14" t="n">
        <v>45</v>
      </c>
      <c r="M18" s="14" t="n">
        <v>65</v>
      </c>
      <c r="N18" s="14">
        <f>AVERAGE(L18:M18)</f>
        <v/>
      </c>
      <c r="O18" s="14" t="n">
        <v>45</v>
      </c>
      <c r="P18" s="14" t="n">
        <v>65</v>
      </c>
      <c r="Q18" s="14" t="n">
        <v>50</v>
      </c>
      <c r="R18" s="14" t="n">
        <v>70</v>
      </c>
      <c r="S18" s="14" t="n">
        <v>40</v>
      </c>
      <c r="T18" s="14" t="n">
        <v>60</v>
      </c>
      <c r="U18" s="9" t="n">
        <v>0.08333333333333333</v>
      </c>
      <c r="V18" s="9" t="n">
        <v>0.07692307692307693</v>
      </c>
      <c r="W18" s="9" t="n">
        <v>0.09090909090909091</v>
      </c>
      <c r="X18" s="15">
        <f>AVERAGE(U18:W18)</f>
        <v/>
      </c>
      <c r="Y18" s="11" t="inlineStr">
        <is>
          <t>Y</t>
        </is>
      </c>
      <c r="Z18" s="11" t="inlineStr">
        <is>
          <t>Y</t>
        </is>
      </c>
      <c r="AA18" s="12" t="inlineStr">
        <is>
          <t>eBay sold</t>
        </is>
      </c>
    </row>
    <row r="19" ht="17" customHeight="1">
      <c r="A19" s="6" t="n">
        <v>17</v>
      </c>
      <c r="B19" s="6" t="inlineStr">
        <is>
          <t>Sneakers</t>
        </is>
      </c>
      <c r="C19" s="7" t="inlineStr">
        <is>
          <t>Asics Gel-Kayano 14</t>
        </is>
      </c>
      <c r="D19" s="6" t="inlineStr">
        <is>
          <t>Asics</t>
        </is>
      </c>
      <c r="E19" s="6" t="inlineStr">
        <is>
          <t>Like New</t>
        </is>
      </c>
      <c r="F19" s="8" t="n">
        <v>90</v>
      </c>
      <c r="G19" s="8" t="n">
        <v>120</v>
      </c>
      <c r="H19" s="8">
        <f>AVERAGE(F19:G19)</f>
        <v/>
      </c>
      <c r="I19" s="8" t="n">
        <v>95</v>
      </c>
      <c r="J19" s="8" t="n">
        <v>125</v>
      </c>
      <c r="K19" s="8">
        <f>AVERAGE(I19:J19)</f>
        <v/>
      </c>
      <c r="L19" s="8" t="n">
        <v>85</v>
      </c>
      <c r="M19" s="8" t="n">
        <v>115</v>
      </c>
      <c r="N19" s="8">
        <f>AVERAGE(L19:M19)</f>
        <v/>
      </c>
      <c r="O19" s="8" t="n">
        <v>80</v>
      </c>
      <c r="P19" s="8" t="n">
        <v>110</v>
      </c>
      <c r="Q19" s="8" t="n">
        <v>85</v>
      </c>
      <c r="R19" s="8" t="n">
        <v>115</v>
      </c>
      <c r="S19" s="8" t="n">
        <v>75</v>
      </c>
      <c r="T19" s="8" t="n">
        <v>105</v>
      </c>
      <c r="U19" s="9" t="n">
        <v>0.09523809523809523</v>
      </c>
      <c r="V19" s="9" t="n">
        <v>0.09090909090909091</v>
      </c>
      <c r="W19" s="16" t="n">
        <v>0.1</v>
      </c>
      <c r="X19" s="10">
        <f>AVERAGE(U19:W19)</f>
        <v/>
      </c>
      <c r="Y19" s="11" t="inlineStr">
        <is>
          <t>Y</t>
        </is>
      </c>
      <c r="Z19" s="11" t="inlineStr">
        <is>
          <t>Y</t>
        </is>
      </c>
      <c r="AA19" s="6" t="inlineStr">
        <is>
          <t>Grailed / eBay sold</t>
        </is>
      </c>
    </row>
    <row r="20" ht="17" customHeight="1">
      <c r="A20" s="12" t="n">
        <v>18</v>
      </c>
      <c r="B20" s="12" t="inlineStr">
        <is>
          <t>Sneakers</t>
        </is>
      </c>
      <c r="C20" s="13" t="inlineStr">
        <is>
          <t>Nike Zoom Vomero 5</t>
        </is>
      </c>
      <c r="D20" s="12" t="inlineStr">
        <is>
          <t>Nike</t>
        </is>
      </c>
      <c r="E20" s="12" t="inlineStr">
        <is>
          <t>Like New</t>
        </is>
      </c>
      <c r="F20" s="14" t="n">
        <v>130</v>
      </c>
      <c r="G20" s="14" t="n">
        <v>160</v>
      </c>
      <c r="H20" s="14">
        <f>AVERAGE(F20:G20)</f>
        <v/>
      </c>
      <c r="I20" s="14" t="n">
        <v>135</v>
      </c>
      <c r="J20" s="14" t="n">
        <v>165</v>
      </c>
      <c r="K20" s="14">
        <f>AVERAGE(I20:J20)</f>
        <v/>
      </c>
      <c r="L20" s="14" t="n">
        <v>120</v>
      </c>
      <c r="M20" s="14" t="n">
        <v>150</v>
      </c>
      <c r="N20" s="14">
        <f>AVERAGE(L20:M20)</f>
        <v/>
      </c>
      <c r="O20" s="14" t="n">
        <v>120</v>
      </c>
      <c r="P20" s="14" t="n">
        <v>155</v>
      </c>
      <c r="Q20" s="14" t="n">
        <v>130</v>
      </c>
      <c r="R20" s="14" t="n">
        <v>160</v>
      </c>
      <c r="S20" s="14" t="n">
        <v>115</v>
      </c>
      <c r="T20" s="14" t="n">
        <v>145</v>
      </c>
      <c r="U20" s="9" t="n">
        <v>0.05172413793103448</v>
      </c>
      <c r="V20" s="9" t="n">
        <v>0.03333333333333333</v>
      </c>
      <c r="W20" s="9" t="n">
        <v>0.03703703703703703</v>
      </c>
      <c r="X20" s="15">
        <f>AVERAGE(U20:W20)</f>
        <v/>
      </c>
      <c r="Y20" s="11" t="inlineStr">
        <is>
          <t>Y</t>
        </is>
      </c>
      <c r="Z20" s="11" t="inlineStr">
        <is>
          <t>Y</t>
        </is>
      </c>
      <c r="AA20" s="12" t="inlineStr">
        <is>
          <t>Grailed / StockX sold</t>
        </is>
      </c>
    </row>
    <row r="21" ht="17" customHeight="1">
      <c r="A21" s="6" t="n">
        <v>19</v>
      </c>
      <c r="B21" s="6" t="inlineStr">
        <is>
          <t>Sneakers</t>
        </is>
      </c>
      <c r="C21" s="7" t="inlineStr">
        <is>
          <t>Jordan 1 Mid Chicago</t>
        </is>
      </c>
      <c r="D21" s="6" t="inlineStr">
        <is>
          <t>Jordan</t>
        </is>
      </c>
      <c r="E21" s="6" t="inlineStr">
        <is>
          <t>Good</t>
        </is>
      </c>
      <c r="F21" s="8" t="n">
        <v>100</v>
      </c>
      <c r="G21" s="8" t="n">
        <v>130</v>
      </c>
      <c r="H21" s="8">
        <f>AVERAGE(F21:G21)</f>
        <v/>
      </c>
      <c r="I21" s="8" t="n">
        <v>105</v>
      </c>
      <c r="J21" s="8" t="n">
        <v>135</v>
      </c>
      <c r="K21" s="8">
        <f>AVERAGE(I21:J21)</f>
        <v/>
      </c>
      <c r="L21" s="8" t="n">
        <v>90</v>
      </c>
      <c r="M21" s="8" t="n">
        <v>120</v>
      </c>
      <c r="N21" s="8">
        <f>AVERAGE(L21:M21)</f>
        <v/>
      </c>
      <c r="O21" s="8" t="n">
        <v>95</v>
      </c>
      <c r="P21" s="8" t="n">
        <v>125</v>
      </c>
      <c r="Q21" s="8" t="n">
        <v>100</v>
      </c>
      <c r="R21" s="8" t="n">
        <v>130</v>
      </c>
      <c r="S21" s="8" t="n">
        <v>85</v>
      </c>
      <c r="T21" s="8" t="n">
        <v>115</v>
      </c>
      <c r="U21" s="9" t="n">
        <v>0.04347826086956522</v>
      </c>
      <c r="V21" s="9" t="n">
        <v>0.04166666666666666</v>
      </c>
      <c r="W21" s="9" t="n">
        <v>0.04761904761904762</v>
      </c>
      <c r="X21" s="10">
        <f>AVERAGE(U21:W21)</f>
        <v/>
      </c>
      <c r="Y21" s="11" t="inlineStr">
        <is>
          <t>Y</t>
        </is>
      </c>
      <c r="Z21" s="11" t="inlineStr">
        <is>
          <t>Y</t>
        </is>
      </c>
      <c r="AA21" s="6" t="inlineStr">
        <is>
          <t>eBay sold</t>
        </is>
      </c>
    </row>
    <row r="22" ht="17" customHeight="1">
      <c r="A22" s="12" t="n">
        <v>20</v>
      </c>
      <c r="B22" s="12" t="inlineStr">
        <is>
          <t>Sneakers</t>
        </is>
      </c>
      <c r="C22" s="13" t="inlineStr">
        <is>
          <t>Saucony Jazz Original</t>
        </is>
      </c>
      <c r="D22" s="12" t="inlineStr">
        <is>
          <t>Saucony</t>
        </is>
      </c>
      <c r="E22" s="12" t="inlineStr">
        <is>
          <t>Good</t>
        </is>
      </c>
      <c r="F22" s="14" t="n">
        <v>60</v>
      </c>
      <c r="G22" s="14" t="n">
        <v>80</v>
      </c>
      <c r="H22" s="14">
        <f>AVERAGE(F22:G22)</f>
        <v/>
      </c>
      <c r="I22" s="14" t="n">
        <v>65</v>
      </c>
      <c r="J22" s="14" t="n">
        <v>85</v>
      </c>
      <c r="K22" s="14">
        <f>AVERAGE(I22:J22)</f>
        <v/>
      </c>
      <c r="L22" s="14" t="n">
        <v>55</v>
      </c>
      <c r="M22" s="14" t="n">
        <v>75</v>
      </c>
      <c r="N22" s="14">
        <f>AVERAGE(L22:M22)</f>
        <v/>
      </c>
      <c r="O22" s="14" t="n">
        <v>55</v>
      </c>
      <c r="P22" s="14" t="n">
        <v>75</v>
      </c>
      <c r="Q22" s="14" t="n">
        <v>60</v>
      </c>
      <c r="R22" s="14" t="n">
        <v>80</v>
      </c>
      <c r="S22" s="14" t="n">
        <v>50</v>
      </c>
      <c r="T22" s="14" t="n">
        <v>70</v>
      </c>
      <c r="U22" s="9" t="n">
        <v>0.07142857142857142</v>
      </c>
      <c r="V22" s="9" t="n">
        <v>0.06666666666666667</v>
      </c>
      <c r="W22" s="9" t="n">
        <v>0.07692307692307693</v>
      </c>
      <c r="X22" s="15">
        <f>AVERAGE(U22:W22)</f>
        <v/>
      </c>
      <c r="Y22" s="11" t="inlineStr">
        <is>
          <t>Y</t>
        </is>
      </c>
      <c r="Z22" s="11" t="inlineStr">
        <is>
          <t>Y</t>
        </is>
      </c>
      <c r="AA22" s="12" t="inlineStr">
        <is>
          <t>eBay sold</t>
        </is>
      </c>
    </row>
    <row r="23" ht="17" customHeight="1">
      <c r="A23" s="6" t="n">
        <v>21</v>
      </c>
      <c r="B23" s="6" t="inlineStr">
        <is>
          <t>Sneakers</t>
        </is>
      </c>
      <c r="C23" s="7" t="inlineStr">
        <is>
          <t>Converse Chuck 70 Hi Black</t>
        </is>
      </c>
      <c r="D23" s="6" t="inlineStr">
        <is>
          <t>Converse</t>
        </is>
      </c>
      <c r="E23" s="6" t="inlineStr">
        <is>
          <t>Good</t>
        </is>
      </c>
      <c r="F23" s="8" t="n">
        <v>45</v>
      </c>
      <c r="G23" s="8" t="n">
        <v>65</v>
      </c>
      <c r="H23" s="8">
        <f>AVERAGE(F23:G23)</f>
        <v/>
      </c>
      <c r="I23" s="8" t="n">
        <v>50</v>
      </c>
      <c r="J23" s="8" t="n">
        <v>70</v>
      </c>
      <c r="K23" s="8">
        <f>AVERAGE(I23:J23)</f>
        <v/>
      </c>
      <c r="L23" s="8" t="n">
        <v>40</v>
      </c>
      <c r="M23" s="8" t="n">
        <v>60</v>
      </c>
      <c r="N23" s="8">
        <f>AVERAGE(L23:M23)</f>
        <v/>
      </c>
      <c r="O23" s="8" t="n">
        <v>40</v>
      </c>
      <c r="P23" s="8" t="n">
        <v>60</v>
      </c>
      <c r="Q23" s="8" t="n">
        <v>45</v>
      </c>
      <c r="R23" s="8" t="n">
        <v>65</v>
      </c>
      <c r="S23" s="8" t="n">
        <v>35</v>
      </c>
      <c r="T23" s="8" t="n">
        <v>55</v>
      </c>
      <c r="U23" s="9" t="n">
        <v>0.09090909090909091</v>
      </c>
      <c r="V23" s="9" t="n">
        <v>0.08333333333333333</v>
      </c>
      <c r="W23" s="16" t="n">
        <v>0.1</v>
      </c>
      <c r="X23" s="10">
        <f>AVERAGE(U23:W23)</f>
        <v/>
      </c>
      <c r="Y23" s="11" t="inlineStr">
        <is>
          <t>Y</t>
        </is>
      </c>
      <c r="Z23" s="11" t="inlineStr">
        <is>
          <t>Y</t>
        </is>
      </c>
      <c r="AA23" s="6" t="inlineStr">
        <is>
          <t>eBay sold</t>
        </is>
      </c>
    </row>
    <row r="24" ht="17" customHeight="1">
      <c r="A24" s="12" t="n">
        <v>22</v>
      </c>
      <c r="B24" s="12" t="inlineStr">
        <is>
          <t>Sneakers</t>
        </is>
      </c>
      <c r="C24" s="13" t="inlineStr">
        <is>
          <t>Nike Air Huarache OG</t>
        </is>
      </c>
      <c r="D24" s="12" t="inlineStr">
        <is>
          <t>Nike</t>
        </is>
      </c>
      <c r="E24" s="12" t="inlineStr">
        <is>
          <t>Good</t>
        </is>
      </c>
      <c r="F24" s="14" t="n">
        <v>80</v>
      </c>
      <c r="G24" s="14" t="n">
        <v>110</v>
      </c>
      <c r="H24" s="14">
        <f>AVERAGE(F24:G24)</f>
        <v/>
      </c>
      <c r="I24" s="14" t="n">
        <v>85</v>
      </c>
      <c r="J24" s="14" t="n">
        <v>115</v>
      </c>
      <c r="K24" s="14">
        <f>AVERAGE(I24:J24)</f>
        <v/>
      </c>
      <c r="L24" s="14" t="n">
        <v>75</v>
      </c>
      <c r="M24" s="14" t="n">
        <v>105</v>
      </c>
      <c r="N24" s="14">
        <f>AVERAGE(L24:M24)</f>
        <v/>
      </c>
      <c r="O24" s="14" t="n">
        <v>75</v>
      </c>
      <c r="P24" s="14" t="n">
        <v>105</v>
      </c>
      <c r="Q24" s="14" t="n">
        <v>80</v>
      </c>
      <c r="R24" s="14" t="n">
        <v>110</v>
      </c>
      <c r="S24" s="14" t="n">
        <v>70</v>
      </c>
      <c r="T24" s="14" t="n">
        <v>100</v>
      </c>
      <c r="U24" s="9" t="n">
        <v>0.05263157894736842</v>
      </c>
      <c r="V24" s="9" t="n">
        <v>0.05</v>
      </c>
      <c r="W24" s="9" t="n">
        <v>0.05555555555555555</v>
      </c>
      <c r="X24" s="15">
        <f>AVERAGE(U24:W24)</f>
        <v/>
      </c>
      <c r="Y24" s="11" t="inlineStr">
        <is>
          <t>Y</t>
        </is>
      </c>
      <c r="Z24" s="11" t="inlineStr">
        <is>
          <t>Y</t>
        </is>
      </c>
      <c r="AA24" s="12" t="inlineStr">
        <is>
          <t>eBay / StockX sold</t>
        </is>
      </c>
    </row>
    <row r="25" ht="17" customHeight="1">
      <c r="A25" s="6" t="n">
        <v>23</v>
      </c>
      <c r="B25" s="6" t="inlineStr">
        <is>
          <t>Sneakers</t>
        </is>
      </c>
      <c r="C25" s="7" t="inlineStr">
        <is>
          <t>Puma Suede Classic</t>
        </is>
      </c>
      <c r="D25" s="6" t="inlineStr">
        <is>
          <t>Puma</t>
        </is>
      </c>
      <c r="E25" s="6" t="inlineStr">
        <is>
          <t>Good</t>
        </is>
      </c>
      <c r="F25" s="8" t="n">
        <v>35</v>
      </c>
      <c r="G25" s="8" t="n">
        <v>55</v>
      </c>
      <c r="H25" s="8">
        <f>AVERAGE(F25:G25)</f>
        <v/>
      </c>
      <c r="I25" s="8" t="n">
        <v>40</v>
      </c>
      <c r="J25" s="8" t="n">
        <v>60</v>
      </c>
      <c r="K25" s="8">
        <f>AVERAGE(I25:J25)</f>
        <v/>
      </c>
      <c r="L25" s="8" t="n">
        <v>30</v>
      </c>
      <c r="M25" s="8" t="n">
        <v>50</v>
      </c>
      <c r="N25" s="8">
        <f>AVERAGE(L25:M25)</f>
        <v/>
      </c>
      <c r="O25" s="8" t="n">
        <v>30</v>
      </c>
      <c r="P25" s="8" t="n">
        <v>50</v>
      </c>
      <c r="Q25" s="8" t="n">
        <v>35</v>
      </c>
      <c r="R25" s="8" t="n">
        <v>55</v>
      </c>
      <c r="S25" s="8" t="n">
        <v>28</v>
      </c>
      <c r="T25" s="8" t="n">
        <v>48</v>
      </c>
      <c r="U25" s="16" t="n">
        <v>0.1111111111111111</v>
      </c>
      <c r="V25" s="16" t="n">
        <v>0.1</v>
      </c>
      <c r="W25" s="9" t="n">
        <v>0.05</v>
      </c>
      <c r="X25" s="10">
        <f>AVERAGE(U25:W25)</f>
        <v/>
      </c>
      <c r="Y25" s="11" t="inlineStr">
        <is>
          <t>Y</t>
        </is>
      </c>
      <c r="Z25" s="11" t="inlineStr">
        <is>
          <t>Y</t>
        </is>
      </c>
      <c r="AA25" s="6" t="inlineStr">
        <is>
          <t>eBay sold</t>
        </is>
      </c>
    </row>
    <row r="26" ht="17" customHeight="1">
      <c r="A26" s="12" t="n">
        <v>24</v>
      </c>
      <c r="B26" s="12" t="inlineStr">
        <is>
          <t>Sneakers</t>
        </is>
      </c>
      <c r="C26" s="13" t="inlineStr">
        <is>
          <t>Jordan 6 Carmine (2021)</t>
        </is>
      </c>
      <c r="D26" s="12" t="inlineStr">
        <is>
          <t>Jordan</t>
        </is>
      </c>
      <c r="E26" s="12" t="inlineStr">
        <is>
          <t>Like New</t>
        </is>
      </c>
      <c r="F26" s="14" t="n">
        <v>220</v>
      </c>
      <c r="G26" s="14" t="n">
        <v>270</v>
      </c>
      <c r="H26" s="14">
        <f>AVERAGE(F26:G26)</f>
        <v/>
      </c>
      <c r="I26" s="14" t="n">
        <v>230</v>
      </c>
      <c r="J26" s="14" t="n">
        <v>280</v>
      </c>
      <c r="K26" s="14">
        <f>AVERAGE(I26:J26)</f>
        <v/>
      </c>
      <c r="L26" s="14" t="n">
        <v>210</v>
      </c>
      <c r="M26" s="14" t="n">
        <v>260</v>
      </c>
      <c r="N26" s="14">
        <f>AVERAGE(L26:M26)</f>
        <v/>
      </c>
      <c r="O26" s="14" t="n">
        <v>210</v>
      </c>
      <c r="P26" s="14" t="n">
        <v>260</v>
      </c>
      <c r="Q26" s="14" t="n">
        <v>225</v>
      </c>
      <c r="R26" s="14" t="n">
        <v>275</v>
      </c>
      <c r="S26" s="14" t="n">
        <v>200</v>
      </c>
      <c r="T26" s="14" t="n">
        <v>250</v>
      </c>
      <c r="U26" s="9" t="n">
        <v>0.04081632653061224</v>
      </c>
      <c r="V26" s="9" t="n">
        <v>0.0196078431372549</v>
      </c>
      <c r="W26" s="9" t="n">
        <v>0.0425531914893617</v>
      </c>
      <c r="X26" s="15">
        <f>AVERAGE(U26:W26)</f>
        <v/>
      </c>
      <c r="Y26" s="11" t="inlineStr">
        <is>
          <t>Y</t>
        </is>
      </c>
      <c r="Z26" s="11" t="inlineStr">
        <is>
          <t>Y</t>
        </is>
      </c>
      <c r="AA26" s="12" t="inlineStr">
        <is>
          <t>StockX / Grailed sold</t>
        </is>
      </c>
    </row>
    <row r="27" ht="17" customHeight="1">
      <c r="A27" s="6" t="n">
        <v>25</v>
      </c>
      <c r="B27" s="6" t="inlineStr">
        <is>
          <t>Sneakers</t>
        </is>
      </c>
      <c r="C27" s="7" t="inlineStr">
        <is>
          <t>Nike Air Max 1 Anniversary Red</t>
        </is>
      </c>
      <c r="D27" s="6" t="inlineStr">
        <is>
          <t>Nike</t>
        </is>
      </c>
      <c r="E27" s="6" t="inlineStr">
        <is>
          <t>Good</t>
        </is>
      </c>
      <c r="F27" s="8" t="n">
        <v>160</v>
      </c>
      <c r="G27" s="8" t="n">
        <v>200</v>
      </c>
      <c r="H27" s="8">
        <f>AVERAGE(F27:G27)</f>
        <v/>
      </c>
      <c r="I27" s="8" t="n">
        <v>170</v>
      </c>
      <c r="J27" s="8" t="n">
        <v>210</v>
      </c>
      <c r="K27" s="8">
        <f>AVERAGE(I27:J27)</f>
        <v/>
      </c>
      <c r="L27" s="8" t="n">
        <v>150</v>
      </c>
      <c r="M27" s="8" t="n">
        <v>190</v>
      </c>
      <c r="N27" s="8">
        <f>AVERAGE(L27:M27)</f>
        <v/>
      </c>
      <c r="O27" s="8" t="n">
        <v>150</v>
      </c>
      <c r="P27" s="8" t="n">
        <v>195</v>
      </c>
      <c r="Q27" s="8" t="n">
        <v>165</v>
      </c>
      <c r="R27" s="8" t="n">
        <v>205</v>
      </c>
      <c r="S27" s="8" t="n">
        <v>145</v>
      </c>
      <c r="T27" s="8" t="n">
        <v>185</v>
      </c>
      <c r="U27" s="9" t="n">
        <v>0.04166666666666666</v>
      </c>
      <c r="V27" s="9" t="n">
        <v>0.02631578947368421</v>
      </c>
      <c r="W27" s="9" t="n">
        <v>0.02941176470588235</v>
      </c>
      <c r="X27" s="10">
        <f>AVERAGE(U27:W27)</f>
        <v/>
      </c>
      <c r="Y27" s="11" t="inlineStr">
        <is>
          <t>Y</t>
        </is>
      </c>
      <c r="Z27" s="11" t="inlineStr">
        <is>
          <t>Y</t>
        </is>
      </c>
      <c r="AA27" s="6" t="inlineStr">
        <is>
          <t>StockX / Grailed sold</t>
        </is>
      </c>
    </row>
    <row r="28" ht="17" customHeight="1">
      <c r="A28" s="12" t="n">
        <v>26</v>
      </c>
      <c r="B28" s="12" t="inlineStr">
        <is>
          <t>Clothing</t>
        </is>
      </c>
      <c r="C28" s="13" t="inlineStr">
        <is>
          <t>Supreme Box Logo Hoodie FW18</t>
        </is>
      </c>
      <c r="D28" s="12" t="inlineStr">
        <is>
          <t>Supreme</t>
        </is>
      </c>
      <c r="E28" s="12" t="inlineStr">
        <is>
          <t>Good</t>
        </is>
      </c>
      <c r="F28" s="14" t="n">
        <v>400</v>
      </c>
      <c r="G28" s="14" t="n">
        <v>500</v>
      </c>
      <c r="H28" s="14">
        <f>AVERAGE(F28:G28)</f>
        <v/>
      </c>
      <c r="I28" s="14" t="n">
        <v>450</v>
      </c>
      <c r="J28" s="14" t="n">
        <v>550</v>
      </c>
      <c r="K28" s="14">
        <f>AVERAGE(I28:J28)</f>
        <v/>
      </c>
      <c r="L28" s="14" t="n">
        <v>380</v>
      </c>
      <c r="M28" s="14" t="n">
        <v>480</v>
      </c>
      <c r="N28" s="14">
        <f>AVERAGE(L28:M28)</f>
        <v/>
      </c>
      <c r="O28" s="14" t="n">
        <v>380</v>
      </c>
      <c r="P28" s="14" t="n">
        <v>490</v>
      </c>
      <c r="Q28" s="14" t="n">
        <v>430</v>
      </c>
      <c r="R28" s="14" t="n">
        <v>540</v>
      </c>
      <c r="S28" s="14" t="n">
        <v>360</v>
      </c>
      <c r="T28" s="14" t="n">
        <v>470</v>
      </c>
      <c r="U28" s="9" t="n">
        <v>0.03333333333333333</v>
      </c>
      <c r="V28" s="9" t="n">
        <v>0.03</v>
      </c>
      <c r="W28" s="9" t="n">
        <v>0.03488372093023256</v>
      </c>
      <c r="X28" s="15">
        <f>AVERAGE(U28:W28)</f>
        <v/>
      </c>
      <c r="Y28" s="11" t="inlineStr">
        <is>
          <t>Y</t>
        </is>
      </c>
      <c r="Z28" s="11" t="inlineStr">
        <is>
          <t>Y</t>
        </is>
      </c>
      <c r="AA28" s="12" t="inlineStr">
        <is>
          <t>Grailed / eBay sold</t>
        </is>
      </c>
    </row>
    <row r="29" ht="17" customHeight="1">
      <c r="A29" s="6" t="n">
        <v>27</v>
      </c>
      <c r="B29" s="6" t="inlineStr">
        <is>
          <t>Clothing</t>
        </is>
      </c>
      <c r="C29" s="7" t="inlineStr">
        <is>
          <t>Stussy 8-Ball Fleece</t>
        </is>
      </c>
      <c r="D29" s="6" t="inlineStr">
        <is>
          <t>Stussy</t>
        </is>
      </c>
      <c r="E29" s="6" t="inlineStr">
        <is>
          <t>Like New</t>
        </is>
      </c>
      <c r="F29" s="8" t="n">
        <v>150</v>
      </c>
      <c r="G29" s="8" t="n">
        <v>200</v>
      </c>
      <c r="H29" s="8">
        <f>AVERAGE(F29:G29)</f>
        <v/>
      </c>
      <c r="I29" s="8" t="n">
        <v>170</v>
      </c>
      <c r="J29" s="8" t="n">
        <v>220</v>
      </c>
      <c r="K29" s="8">
        <f>AVERAGE(I29:J29)</f>
        <v/>
      </c>
      <c r="L29" s="8" t="n">
        <v>140</v>
      </c>
      <c r="M29" s="8" t="n">
        <v>190</v>
      </c>
      <c r="N29" s="8">
        <f>AVERAGE(L29:M29)</f>
        <v/>
      </c>
      <c r="O29" s="8" t="n">
        <v>140</v>
      </c>
      <c r="P29" s="8" t="n">
        <v>195</v>
      </c>
      <c r="Q29" s="8" t="n">
        <v>160</v>
      </c>
      <c r="R29" s="8" t="n">
        <v>215</v>
      </c>
      <c r="S29" s="8" t="n">
        <v>130</v>
      </c>
      <c r="T29" s="8" t="n">
        <v>185</v>
      </c>
      <c r="U29" s="9" t="n">
        <v>0.04285714285714286</v>
      </c>
      <c r="V29" s="9" t="n">
        <v>0.03846153846153846</v>
      </c>
      <c r="W29" s="9" t="n">
        <v>0.04545454545454546</v>
      </c>
      <c r="X29" s="10">
        <f>AVERAGE(U29:W29)</f>
        <v/>
      </c>
      <c r="Y29" s="11" t="inlineStr">
        <is>
          <t>Y</t>
        </is>
      </c>
      <c r="Z29" s="11" t="inlineStr">
        <is>
          <t>Y</t>
        </is>
      </c>
      <c r="AA29" s="6" t="inlineStr">
        <is>
          <t>Grailed / eBay sold</t>
        </is>
      </c>
    </row>
    <row r="30" ht="17" customHeight="1">
      <c r="A30" s="12" t="n">
        <v>28</v>
      </c>
      <c r="B30" s="12" t="inlineStr">
        <is>
          <t>Clothing</t>
        </is>
      </c>
      <c r="C30" s="13" t="inlineStr">
        <is>
          <t>Carhartt WIP Active Jacket</t>
        </is>
      </c>
      <c r="D30" s="12" t="inlineStr">
        <is>
          <t>Carhartt WIP</t>
        </is>
      </c>
      <c r="E30" s="12" t="inlineStr">
        <is>
          <t>Good</t>
        </is>
      </c>
      <c r="F30" s="14" t="n">
        <v>80</v>
      </c>
      <c r="G30" s="14" t="n">
        <v>110</v>
      </c>
      <c r="H30" s="14">
        <f>AVERAGE(F30:G30)</f>
        <v/>
      </c>
      <c r="I30" s="14" t="n">
        <v>90</v>
      </c>
      <c r="J30" s="14" t="n">
        <v>120</v>
      </c>
      <c r="K30" s="14">
        <f>AVERAGE(I30:J30)</f>
        <v/>
      </c>
      <c r="L30" s="14" t="n">
        <v>75</v>
      </c>
      <c r="M30" s="14" t="n">
        <v>105</v>
      </c>
      <c r="N30" s="14">
        <f>AVERAGE(L30:M30)</f>
        <v/>
      </c>
      <c r="O30" s="14" t="n">
        <v>75</v>
      </c>
      <c r="P30" s="14" t="n">
        <v>105</v>
      </c>
      <c r="Q30" s="14" t="n">
        <v>85</v>
      </c>
      <c r="R30" s="14" t="n">
        <v>115</v>
      </c>
      <c r="S30" s="14" t="n">
        <v>70</v>
      </c>
      <c r="T30" s="14" t="n">
        <v>100</v>
      </c>
      <c r="U30" s="9" t="n">
        <v>0.05263157894736842</v>
      </c>
      <c r="V30" s="9" t="n">
        <v>0.04761904761904762</v>
      </c>
      <c r="W30" s="9" t="n">
        <v>0.05555555555555555</v>
      </c>
      <c r="X30" s="15">
        <f>AVERAGE(U30:W30)</f>
        <v/>
      </c>
      <c r="Y30" s="11" t="inlineStr">
        <is>
          <t>Y</t>
        </is>
      </c>
      <c r="Z30" s="11" t="inlineStr">
        <is>
          <t>Y</t>
        </is>
      </c>
      <c r="AA30" s="12" t="inlineStr">
        <is>
          <t>eBay / Grailed sold</t>
        </is>
      </c>
    </row>
    <row r="31" ht="17" customHeight="1">
      <c r="A31" s="6" t="n">
        <v>29</v>
      </c>
      <c r="B31" s="6" t="inlineStr">
        <is>
          <t>Clothing</t>
        </is>
      </c>
      <c r="C31" s="7" t="inlineStr">
        <is>
          <t>Ralph Lauren Polo Shirt (Vintage)</t>
        </is>
      </c>
      <c r="D31" s="6" t="inlineStr">
        <is>
          <t>Ralph Lauren</t>
        </is>
      </c>
      <c r="E31" s="6" t="inlineStr">
        <is>
          <t>Good</t>
        </is>
      </c>
      <c r="F31" s="8" t="n">
        <v>45</v>
      </c>
      <c r="G31" s="8" t="n">
        <v>70</v>
      </c>
      <c r="H31" s="8">
        <f>AVERAGE(F31:G31)</f>
        <v/>
      </c>
      <c r="I31" s="8" t="n">
        <v>50</v>
      </c>
      <c r="J31" s="8" t="n">
        <v>75</v>
      </c>
      <c r="K31" s="8">
        <f>AVERAGE(I31:J31)</f>
        <v/>
      </c>
      <c r="L31" s="8" t="n">
        <v>40</v>
      </c>
      <c r="M31" s="8" t="n">
        <v>65</v>
      </c>
      <c r="N31" s="8">
        <f>AVERAGE(L31:M31)</f>
        <v/>
      </c>
      <c r="O31" s="8" t="n">
        <v>40</v>
      </c>
      <c r="P31" s="8" t="n">
        <v>65</v>
      </c>
      <c r="Q31" s="8" t="n">
        <v>45</v>
      </c>
      <c r="R31" s="8" t="n">
        <v>70</v>
      </c>
      <c r="S31" s="8" t="n">
        <v>35</v>
      </c>
      <c r="T31" s="8" t="n">
        <v>60</v>
      </c>
      <c r="U31" s="9" t="n">
        <v>0.08695652173913043</v>
      </c>
      <c r="V31" s="9" t="n">
        <v>0.08</v>
      </c>
      <c r="W31" s="9" t="n">
        <v>0.09523809523809523</v>
      </c>
      <c r="X31" s="10">
        <f>AVERAGE(U31:W31)</f>
        <v/>
      </c>
      <c r="Y31" s="11" t="inlineStr">
        <is>
          <t>Y</t>
        </is>
      </c>
      <c r="Z31" s="11" t="inlineStr">
        <is>
          <t>Y</t>
        </is>
      </c>
      <c r="AA31" s="6" t="inlineStr">
        <is>
          <t>eBay / Depop sold</t>
        </is>
      </c>
    </row>
    <row r="32" ht="17" customHeight="1">
      <c r="A32" s="12" t="n">
        <v>30</v>
      </c>
      <c r="B32" s="12" t="inlineStr">
        <is>
          <t>Clothing</t>
        </is>
      </c>
      <c r="C32" s="13" t="inlineStr">
        <is>
          <t>Nike Tech Fleece Hoodie</t>
        </is>
      </c>
      <c r="D32" s="12" t="inlineStr">
        <is>
          <t>Nike</t>
        </is>
      </c>
      <c r="E32" s="12" t="inlineStr">
        <is>
          <t>Like New</t>
        </is>
      </c>
      <c r="F32" s="14" t="n">
        <v>70</v>
      </c>
      <c r="G32" s="14" t="n">
        <v>95</v>
      </c>
      <c r="H32" s="14">
        <f>AVERAGE(F32:G32)</f>
        <v/>
      </c>
      <c r="I32" s="14" t="n">
        <v>75</v>
      </c>
      <c r="J32" s="14" t="n">
        <v>100</v>
      </c>
      <c r="K32" s="14">
        <f>AVERAGE(I32:J32)</f>
        <v/>
      </c>
      <c r="L32" s="14" t="n">
        <v>65</v>
      </c>
      <c r="M32" s="14" t="n">
        <v>90</v>
      </c>
      <c r="N32" s="14">
        <f>AVERAGE(L32:M32)</f>
        <v/>
      </c>
      <c r="O32" s="14" t="n">
        <v>65</v>
      </c>
      <c r="P32" s="14" t="n">
        <v>90</v>
      </c>
      <c r="Q32" s="14" t="n">
        <v>70</v>
      </c>
      <c r="R32" s="14" t="n">
        <v>95</v>
      </c>
      <c r="S32" s="14" t="n">
        <v>60</v>
      </c>
      <c r="T32" s="14" t="n">
        <v>85</v>
      </c>
      <c r="U32" s="9" t="n">
        <v>0.06060606060606061</v>
      </c>
      <c r="V32" s="9" t="n">
        <v>0.05714285714285714</v>
      </c>
      <c r="W32" s="9" t="n">
        <v>0.06451612903225806</v>
      </c>
      <c r="X32" s="15">
        <f>AVERAGE(U32:W32)</f>
        <v/>
      </c>
      <c r="Y32" s="11" t="inlineStr">
        <is>
          <t>Y</t>
        </is>
      </c>
      <c r="Z32" s="11" t="inlineStr">
        <is>
          <t>Y</t>
        </is>
      </c>
      <c r="AA32" s="12" t="inlineStr">
        <is>
          <t>eBay / Grailed sold</t>
        </is>
      </c>
    </row>
    <row r="33" ht="17" customHeight="1">
      <c r="A33" s="6" t="n">
        <v>31</v>
      </c>
      <c r="B33" s="6" t="inlineStr">
        <is>
          <t>Clothing</t>
        </is>
      </c>
      <c r="C33" s="7" t="inlineStr">
        <is>
          <t>Champion Reverse Weave Hoodie</t>
        </is>
      </c>
      <c r="D33" s="6" t="inlineStr">
        <is>
          <t>Champion</t>
        </is>
      </c>
      <c r="E33" s="6" t="inlineStr">
        <is>
          <t>Good</t>
        </is>
      </c>
      <c r="F33" s="8" t="n">
        <v>40</v>
      </c>
      <c r="G33" s="8" t="n">
        <v>60</v>
      </c>
      <c r="H33" s="8">
        <f>AVERAGE(F33:G33)</f>
        <v/>
      </c>
      <c r="I33" s="8" t="n">
        <v>45</v>
      </c>
      <c r="J33" s="8" t="n">
        <v>65</v>
      </c>
      <c r="K33" s="8">
        <f>AVERAGE(I33:J33)</f>
        <v/>
      </c>
      <c r="L33" s="8" t="n">
        <v>35</v>
      </c>
      <c r="M33" s="8" t="n">
        <v>55</v>
      </c>
      <c r="N33" s="8">
        <f>AVERAGE(L33:M33)</f>
        <v/>
      </c>
      <c r="O33" s="8" t="n">
        <v>35</v>
      </c>
      <c r="P33" s="8" t="n">
        <v>55</v>
      </c>
      <c r="Q33" s="8" t="n">
        <v>40</v>
      </c>
      <c r="R33" s="8" t="n">
        <v>60</v>
      </c>
      <c r="S33" s="8" t="n">
        <v>30</v>
      </c>
      <c r="T33" s="8" t="n">
        <v>50</v>
      </c>
      <c r="U33" s="16" t="n">
        <v>0.1</v>
      </c>
      <c r="V33" s="9" t="n">
        <v>0.09090909090909091</v>
      </c>
      <c r="W33" s="16" t="n">
        <v>0.1111111111111111</v>
      </c>
      <c r="X33" s="10">
        <f>AVERAGE(U33:W33)</f>
        <v/>
      </c>
      <c r="Y33" s="11" t="inlineStr">
        <is>
          <t>Y</t>
        </is>
      </c>
      <c r="Z33" s="11" t="inlineStr">
        <is>
          <t>Y</t>
        </is>
      </c>
      <c r="AA33" s="6" t="inlineStr">
        <is>
          <t>eBay sold</t>
        </is>
      </c>
    </row>
    <row r="34" ht="17" customHeight="1">
      <c r="A34" s="12" t="n">
        <v>32</v>
      </c>
      <c r="B34" s="12" t="inlineStr">
        <is>
          <t>Clothing</t>
        </is>
      </c>
      <c r="C34" s="13" t="inlineStr">
        <is>
          <t>Levi's 501 Jeans (90s Vintage)</t>
        </is>
      </c>
      <c r="D34" s="12" t="inlineStr">
        <is>
          <t>Levi's</t>
        </is>
      </c>
      <c r="E34" s="12" t="inlineStr">
        <is>
          <t>Good</t>
        </is>
      </c>
      <c r="F34" s="14" t="n">
        <v>60</v>
      </c>
      <c r="G34" s="14" t="n">
        <v>90</v>
      </c>
      <c r="H34" s="14">
        <f>AVERAGE(F34:G34)</f>
        <v/>
      </c>
      <c r="I34" s="14" t="n">
        <v>70</v>
      </c>
      <c r="J34" s="14" t="n">
        <v>100</v>
      </c>
      <c r="K34" s="14">
        <f>AVERAGE(I34:J34)</f>
        <v/>
      </c>
      <c r="L34" s="14" t="n">
        <v>55</v>
      </c>
      <c r="M34" s="14" t="n">
        <v>85</v>
      </c>
      <c r="N34" s="14">
        <f>AVERAGE(L34:M34)</f>
        <v/>
      </c>
      <c r="O34" s="14" t="n">
        <v>55</v>
      </c>
      <c r="P34" s="14" t="n">
        <v>85</v>
      </c>
      <c r="Q34" s="14" t="n">
        <v>65</v>
      </c>
      <c r="R34" s="14" t="n">
        <v>95</v>
      </c>
      <c r="S34" s="14" t="n">
        <v>50</v>
      </c>
      <c r="T34" s="14" t="n">
        <v>80</v>
      </c>
      <c r="U34" s="9" t="n">
        <v>0.06666666666666667</v>
      </c>
      <c r="V34" s="9" t="n">
        <v>0.05882352941176471</v>
      </c>
      <c r="W34" s="9" t="n">
        <v>0.07142857142857142</v>
      </c>
      <c r="X34" s="15">
        <f>AVERAGE(U34:W34)</f>
        <v/>
      </c>
      <c r="Y34" s="11" t="inlineStr">
        <is>
          <t>Y</t>
        </is>
      </c>
      <c r="Z34" s="11" t="inlineStr">
        <is>
          <t>Y</t>
        </is>
      </c>
      <c r="AA34" s="12" t="inlineStr">
        <is>
          <t>eBay / Depop sold</t>
        </is>
      </c>
    </row>
    <row r="35" ht="17" customHeight="1">
      <c r="A35" s="6" t="n">
        <v>33</v>
      </c>
      <c r="B35" s="6" t="inlineStr">
        <is>
          <t>Clothing</t>
        </is>
      </c>
      <c r="C35" s="7" t="inlineStr">
        <is>
          <t>Palace Tri-Ferg Hoodie</t>
        </is>
      </c>
      <c r="D35" s="6" t="inlineStr">
        <is>
          <t>Palace</t>
        </is>
      </c>
      <c r="E35" s="6" t="inlineStr">
        <is>
          <t>Like New</t>
        </is>
      </c>
      <c r="F35" s="8" t="n">
        <v>120</v>
      </c>
      <c r="G35" s="8" t="n">
        <v>160</v>
      </c>
      <c r="H35" s="8">
        <f>AVERAGE(F35:G35)</f>
        <v/>
      </c>
      <c r="I35" s="8" t="n">
        <v>140</v>
      </c>
      <c r="J35" s="8" t="n">
        <v>180</v>
      </c>
      <c r="K35" s="8">
        <f>AVERAGE(I35:J35)</f>
        <v/>
      </c>
      <c r="L35" s="8" t="n">
        <v>110</v>
      </c>
      <c r="M35" s="8" t="n">
        <v>150</v>
      </c>
      <c r="N35" s="8">
        <f>AVERAGE(L35:M35)</f>
        <v/>
      </c>
      <c r="O35" s="8" t="n">
        <v>115</v>
      </c>
      <c r="P35" s="8" t="n">
        <v>155</v>
      </c>
      <c r="Q35" s="8" t="n">
        <v>135</v>
      </c>
      <c r="R35" s="8" t="n">
        <v>175</v>
      </c>
      <c r="S35" s="8" t="n">
        <v>105</v>
      </c>
      <c r="T35" s="8" t="n">
        <v>145</v>
      </c>
      <c r="U35" s="9" t="n">
        <v>0.03571428571428571</v>
      </c>
      <c r="V35" s="9" t="n">
        <v>0.03125</v>
      </c>
      <c r="W35" s="9" t="n">
        <v>0.03846153846153846</v>
      </c>
      <c r="X35" s="10">
        <f>AVERAGE(U35:W35)</f>
        <v/>
      </c>
      <c r="Y35" s="11" t="inlineStr">
        <is>
          <t>Y</t>
        </is>
      </c>
      <c r="Z35" s="11" t="inlineStr">
        <is>
          <t>Y</t>
        </is>
      </c>
      <c r="AA35" s="6" t="inlineStr">
        <is>
          <t>Grailed / eBay sold</t>
        </is>
      </c>
    </row>
    <row r="36" ht="17" customHeight="1">
      <c r="A36" s="12" t="n">
        <v>34</v>
      </c>
      <c r="B36" s="12" t="inlineStr">
        <is>
          <t>Clothing</t>
        </is>
      </c>
      <c r="C36" s="13" t="inlineStr">
        <is>
          <t>Comme des Garcons PLAY Tee</t>
        </is>
      </c>
      <c r="D36" s="12" t="inlineStr">
        <is>
          <t>CDG</t>
        </is>
      </c>
      <c r="E36" s="12" t="inlineStr">
        <is>
          <t>Good</t>
        </is>
      </c>
      <c r="F36" s="14" t="n">
        <v>70</v>
      </c>
      <c r="G36" s="14" t="n">
        <v>100</v>
      </c>
      <c r="H36" s="14">
        <f>AVERAGE(F36:G36)</f>
        <v/>
      </c>
      <c r="I36" s="14" t="n">
        <v>80</v>
      </c>
      <c r="J36" s="14" t="n">
        <v>110</v>
      </c>
      <c r="K36" s="14">
        <f>AVERAGE(I36:J36)</f>
        <v/>
      </c>
      <c r="L36" s="14" t="n">
        <v>65</v>
      </c>
      <c r="M36" s="14" t="n">
        <v>95</v>
      </c>
      <c r="N36" s="14">
        <f>AVERAGE(L36:M36)</f>
        <v/>
      </c>
      <c r="O36" s="14" t="n">
        <v>65</v>
      </c>
      <c r="P36" s="14" t="n">
        <v>95</v>
      </c>
      <c r="Q36" s="14" t="n">
        <v>75</v>
      </c>
      <c r="R36" s="14" t="n">
        <v>105</v>
      </c>
      <c r="S36" s="14" t="n">
        <v>60</v>
      </c>
      <c r="T36" s="14" t="n">
        <v>90</v>
      </c>
      <c r="U36" s="9" t="n">
        <v>0.05882352941176471</v>
      </c>
      <c r="V36" s="9" t="n">
        <v>0.05263157894736842</v>
      </c>
      <c r="W36" s="9" t="n">
        <v>0.0625</v>
      </c>
      <c r="X36" s="15">
        <f>AVERAGE(U36:W36)</f>
        <v/>
      </c>
      <c r="Y36" s="11" t="inlineStr">
        <is>
          <t>Y</t>
        </is>
      </c>
      <c r="Z36" s="11" t="inlineStr">
        <is>
          <t>Y</t>
        </is>
      </c>
      <c r="AA36" s="12" t="inlineStr">
        <is>
          <t>Grailed / eBay sold</t>
        </is>
      </c>
    </row>
    <row r="37" ht="17" customHeight="1">
      <c r="A37" s="6" t="n">
        <v>35</v>
      </c>
      <c r="B37" s="6" t="inlineStr">
        <is>
          <t>Clothing</t>
        </is>
      </c>
      <c r="C37" s="7" t="inlineStr">
        <is>
          <t>Arc'teryx Beta AR Jacket</t>
        </is>
      </c>
      <c r="D37" s="6" t="inlineStr">
        <is>
          <t>Arc'teryx</t>
        </is>
      </c>
      <c r="E37" s="6" t="inlineStr">
        <is>
          <t>Good</t>
        </is>
      </c>
      <c r="F37" s="8" t="n">
        <v>300</v>
      </c>
      <c r="G37" s="8" t="n">
        <v>400</v>
      </c>
      <c r="H37" s="8">
        <f>AVERAGE(F37:G37)</f>
        <v/>
      </c>
      <c r="I37" s="8" t="n">
        <v>320</v>
      </c>
      <c r="J37" s="8" t="n">
        <v>420</v>
      </c>
      <c r="K37" s="8">
        <f>AVERAGE(I37:J37)</f>
        <v/>
      </c>
      <c r="L37" s="8" t="n">
        <v>280</v>
      </c>
      <c r="M37" s="8" t="n">
        <v>380</v>
      </c>
      <c r="N37" s="8">
        <f>AVERAGE(L37:M37)</f>
        <v/>
      </c>
      <c r="O37" s="8" t="n">
        <v>280</v>
      </c>
      <c r="P37" s="8" t="n">
        <v>390</v>
      </c>
      <c r="Q37" s="8" t="n">
        <v>310</v>
      </c>
      <c r="R37" s="8" t="n">
        <v>415</v>
      </c>
      <c r="S37" s="8" t="n">
        <v>270</v>
      </c>
      <c r="T37" s="8" t="n">
        <v>375</v>
      </c>
      <c r="U37" s="9" t="n">
        <v>0.04285714285714286</v>
      </c>
      <c r="V37" s="9" t="n">
        <v>0.02027027027027027</v>
      </c>
      <c r="W37" s="9" t="n">
        <v>0.02272727272727273</v>
      </c>
      <c r="X37" s="10">
        <f>AVERAGE(U37:W37)</f>
        <v/>
      </c>
      <c r="Y37" s="11" t="inlineStr">
        <is>
          <t>Y</t>
        </is>
      </c>
      <c r="Z37" s="11" t="inlineStr">
        <is>
          <t>Y</t>
        </is>
      </c>
      <c r="AA37" s="6" t="inlineStr">
        <is>
          <t>eBay / Grailed sold</t>
        </is>
      </c>
    </row>
    <row r="38" ht="17" customHeight="1">
      <c r="A38" s="12" t="n">
        <v>36</v>
      </c>
      <c r="B38" s="12" t="inlineStr">
        <is>
          <t>Clothing</t>
        </is>
      </c>
      <c r="C38" s="13" t="inlineStr">
        <is>
          <t>Bape 1st Camo Shark Hoodie</t>
        </is>
      </c>
      <c r="D38" s="12" t="inlineStr">
        <is>
          <t>Bape</t>
        </is>
      </c>
      <c r="E38" s="12" t="inlineStr">
        <is>
          <t>Good</t>
        </is>
      </c>
      <c r="F38" s="14" t="n">
        <v>250</v>
      </c>
      <c r="G38" s="14" t="n">
        <v>350</v>
      </c>
      <c r="H38" s="14">
        <f>AVERAGE(F38:G38)</f>
        <v/>
      </c>
      <c r="I38" s="14" t="n">
        <v>280</v>
      </c>
      <c r="J38" s="14" t="n">
        <v>380</v>
      </c>
      <c r="K38" s="14">
        <f>AVERAGE(I38:J38)</f>
        <v/>
      </c>
      <c r="L38" s="14" t="n">
        <v>230</v>
      </c>
      <c r="M38" s="14" t="n">
        <v>330</v>
      </c>
      <c r="N38" s="14">
        <f>AVERAGE(L38:M38)</f>
        <v/>
      </c>
      <c r="O38" s="14" t="n">
        <v>230</v>
      </c>
      <c r="P38" s="14" t="n">
        <v>340</v>
      </c>
      <c r="Q38" s="14" t="n">
        <v>265</v>
      </c>
      <c r="R38" s="14" t="n">
        <v>370</v>
      </c>
      <c r="S38" s="14" t="n">
        <v>215</v>
      </c>
      <c r="T38" s="14" t="n">
        <v>320</v>
      </c>
      <c r="U38" s="9" t="n">
        <v>0.05</v>
      </c>
      <c r="V38" s="9" t="n">
        <v>0.03787878787878788</v>
      </c>
      <c r="W38" s="9" t="n">
        <v>0.04464285714285714</v>
      </c>
      <c r="X38" s="15">
        <f>AVERAGE(U38:W38)</f>
        <v/>
      </c>
      <c r="Y38" s="11" t="inlineStr">
        <is>
          <t>Y</t>
        </is>
      </c>
      <c r="Z38" s="11" t="inlineStr">
        <is>
          <t>Y</t>
        </is>
      </c>
      <c r="AA38" s="12" t="inlineStr">
        <is>
          <t>Grailed / eBay sold</t>
        </is>
      </c>
    </row>
    <row r="39" ht="17" customHeight="1">
      <c r="A39" s="6" t="n">
        <v>37</v>
      </c>
      <c r="B39" s="6" t="inlineStr">
        <is>
          <t>Clothing</t>
        </is>
      </c>
      <c r="C39" s="7" t="inlineStr">
        <is>
          <t>Kith Treats Logo Hoodie</t>
        </is>
      </c>
      <c r="D39" s="6" t="inlineStr">
        <is>
          <t>Kith</t>
        </is>
      </c>
      <c r="E39" s="6" t="inlineStr">
        <is>
          <t>Like New</t>
        </is>
      </c>
      <c r="F39" s="8" t="n">
        <v>90</v>
      </c>
      <c r="G39" s="8" t="n">
        <v>120</v>
      </c>
      <c r="H39" s="8">
        <f>AVERAGE(F39:G39)</f>
        <v/>
      </c>
      <c r="I39" s="8" t="n">
        <v>100</v>
      </c>
      <c r="J39" s="8" t="n">
        <v>130</v>
      </c>
      <c r="K39" s="8">
        <f>AVERAGE(I39:J39)</f>
        <v/>
      </c>
      <c r="L39" s="8" t="n">
        <v>85</v>
      </c>
      <c r="M39" s="8" t="n">
        <v>115</v>
      </c>
      <c r="N39" s="8">
        <f>AVERAGE(L39:M39)</f>
        <v/>
      </c>
      <c r="O39" s="8" t="n">
        <v>85</v>
      </c>
      <c r="P39" s="8" t="n">
        <v>115</v>
      </c>
      <c r="Q39" s="8" t="n">
        <v>95</v>
      </c>
      <c r="R39" s="8" t="n">
        <v>125</v>
      </c>
      <c r="S39" s="8" t="n">
        <v>80</v>
      </c>
      <c r="T39" s="8" t="n">
        <v>110</v>
      </c>
      <c r="U39" s="9" t="n">
        <v>0.04761904761904762</v>
      </c>
      <c r="V39" s="9" t="n">
        <v>0.04347826086956522</v>
      </c>
      <c r="W39" s="9" t="n">
        <v>0.05</v>
      </c>
      <c r="X39" s="10">
        <f>AVERAGE(U39:W39)</f>
        <v/>
      </c>
      <c r="Y39" s="11" t="inlineStr">
        <is>
          <t>Y</t>
        </is>
      </c>
      <c r="Z39" s="11" t="inlineStr">
        <is>
          <t>Y</t>
        </is>
      </c>
      <c r="AA39" s="6" t="inlineStr">
        <is>
          <t>Grailed / eBay sold</t>
        </is>
      </c>
    </row>
    <row r="40" ht="17" customHeight="1">
      <c r="A40" s="12" t="n">
        <v>38</v>
      </c>
      <c r="B40" s="12" t="inlineStr">
        <is>
          <t>Clothing</t>
        </is>
      </c>
      <c r="C40" s="13" t="inlineStr">
        <is>
          <t>Fear of God Essentials Hoodie</t>
        </is>
      </c>
      <c r="D40" s="12" t="inlineStr">
        <is>
          <t>FOG Essentials</t>
        </is>
      </c>
      <c r="E40" s="12" t="inlineStr">
        <is>
          <t>Good</t>
        </is>
      </c>
      <c r="F40" s="14" t="n">
        <v>65</v>
      </c>
      <c r="G40" s="14" t="n">
        <v>90</v>
      </c>
      <c r="H40" s="14">
        <f>AVERAGE(F40:G40)</f>
        <v/>
      </c>
      <c r="I40" s="14" t="n">
        <v>70</v>
      </c>
      <c r="J40" s="14" t="n">
        <v>95</v>
      </c>
      <c r="K40" s="14">
        <f>AVERAGE(I40:J40)</f>
        <v/>
      </c>
      <c r="L40" s="14" t="n">
        <v>60</v>
      </c>
      <c r="M40" s="14" t="n">
        <v>85</v>
      </c>
      <c r="N40" s="14">
        <f>AVERAGE(L40:M40)</f>
        <v/>
      </c>
      <c r="O40" s="14" t="n">
        <v>60</v>
      </c>
      <c r="P40" s="14" t="n">
        <v>85</v>
      </c>
      <c r="Q40" s="14" t="n">
        <v>65</v>
      </c>
      <c r="R40" s="14" t="n">
        <v>90</v>
      </c>
      <c r="S40" s="14" t="n">
        <v>55</v>
      </c>
      <c r="T40" s="14" t="n">
        <v>80</v>
      </c>
      <c r="U40" s="9" t="n">
        <v>0.06451612903225806</v>
      </c>
      <c r="V40" s="9" t="n">
        <v>0.06060606060606061</v>
      </c>
      <c r="W40" s="9" t="n">
        <v>0.06896551724137931</v>
      </c>
      <c r="X40" s="15">
        <f>AVERAGE(U40:W40)</f>
        <v/>
      </c>
      <c r="Y40" s="11" t="inlineStr">
        <is>
          <t>Y</t>
        </is>
      </c>
      <c r="Z40" s="11" t="inlineStr">
        <is>
          <t>Y</t>
        </is>
      </c>
      <c r="AA40" s="12" t="inlineStr">
        <is>
          <t>eBay / Grailed sold</t>
        </is>
      </c>
    </row>
    <row r="41" ht="17" customHeight="1">
      <c r="A41" s="6" t="n">
        <v>39</v>
      </c>
      <c r="B41" s="6" t="inlineStr">
        <is>
          <t>Clothing</t>
        </is>
      </c>
      <c r="C41" s="7" t="inlineStr">
        <is>
          <t>Tommy Hilfiger Flag Crewneck (Vintage)</t>
        </is>
      </c>
      <c r="D41" s="6" t="inlineStr">
        <is>
          <t>Tommy Hilfiger</t>
        </is>
      </c>
      <c r="E41" s="6" t="inlineStr">
        <is>
          <t>Good</t>
        </is>
      </c>
      <c r="F41" s="8" t="n">
        <v>50</v>
      </c>
      <c r="G41" s="8" t="n">
        <v>75</v>
      </c>
      <c r="H41" s="8">
        <f>AVERAGE(F41:G41)</f>
        <v/>
      </c>
      <c r="I41" s="8" t="n">
        <v>55</v>
      </c>
      <c r="J41" s="8" t="n">
        <v>80</v>
      </c>
      <c r="K41" s="8">
        <f>AVERAGE(I41:J41)</f>
        <v/>
      </c>
      <c r="L41" s="8" t="n">
        <v>45</v>
      </c>
      <c r="M41" s="8" t="n">
        <v>70</v>
      </c>
      <c r="N41" s="8">
        <f>AVERAGE(L41:M41)</f>
        <v/>
      </c>
      <c r="O41" s="8" t="n">
        <v>45</v>
      </c>
      <c r="P41" s="8" t="n">
        <v>70</v>
      </c>
      <c r="Q41" s="8" t="n">
        <v>50</v>
      </c>
      <c r="R41" s="8" t="n">
        <v>75</v>
      </c>
      <c r="S41" s="8" t="n">
        <v>40</v>
      </c>
      <c r="T41" s="8" t="n">
        <v>65</v>
      </c>
      <c r="U41" s="9" t="n">
        <v>0.08</v>
      </c>
      <c r="V41" s="9" t="n">
        <v>0.07407407407407407</v>
      </c>
      <c r="W41" s="9" t="n">
        <v>0.08695652173913043</v>
      </c>
      <c r="X41" s="10">
        <f>AVERAGE(U41:W41)</f>
        <v/>
      </c>
      <c r="Y41" s="11" t="inlineStr">
        <is>
          <t>Y</t>
        </is>
      </c>
      <c r="Z41" s="11" t="inlineStr">
        <is>
          <t>Y</t>
        </is>
      </c>
      <c r="AA41" s="6" t="inlineStr">
        <is>
          <t>eBay / Depop sold</t>
        </is>
      </c>
    </row>
    <row r="42" ht="17" customHeight="1">
      <c r="A42" s="12" t="n">
        <v>40</v>
      </c>
      <c r="B42" s="12" t="inlineStr">
        <is>
          <t>Clothing</t>
        </is>
      </c>
      <c r="C42" s="13" t="inlineStr">
        <is>
          <t>Columbia Fleece Jacket (Vintage)</t>
        </is>
      </c>
      <c r="D42" s="12" t="inlineStr">
        <is>
          <t>Columbia</t>
        </is>
      </c>
      <c r="E42" s="12" t="inlineStr">
        <is>
          <t>Good</t>
        </is>
      </c>
      <c r="F42" s="14" t="n">
        <v>40</v>
      </c>
      <c r="G42" s="14" t="n">
        <v>65</v>
      </c>
      <c r="H42" s="14">
        <f>AVERAGE(F42:G42)</f>
        <v/>
      </c>
      <c r="I42" s="14" t="n">
        <v>45</v>
      </c>
      <c r="J42" s="14" t="n">
        <v>70</v>
      </c>
      <c r="K42" s="14">
        <f>AVERAGE(I42:J42)</f>
        <v/>
      </c>
      <c r="L42" s="14" t="n">
        <v>35</v>
      </c>
      <c r="M42" s="14" t="n">
        <v>60</v>
      </c>
      <c r="N42" s="14">
        <f>AVERAGE(L42:M42)</f>
        <v/>
      </c>
      <c r="O42" s="14" t="n">
        <v>35</v>
      </c>
      <c r="P42" s="14" t="n">
        <v>60</v>
      </c>
      <c r="Q42" s="14" t="n">
        <v>40</v>
      </c>
      <c r="R42" s="14" t="n">
        <v>65</v>
      </c>
      <c r="S42" s="14" t="n">
        <v>30</v>
      </c>
      <c r="T42" s="14" t="n">
        <v>55</v>
      </c>
      <c r="U42" s="9" t="n">
        <v>0.09523809523809523</v>
      </c>
      <c r="V42" s="9" t="n">
        <v>0.08695652173913043</v>
      </c>
      <c r="W42" s="16" t="n">
        <v>0.1052631578947368</v>
      </c>
      <c r="X42" s="15">
        <f>AVERAGE(U42:W42)</f>
        <v/>
      </c>
      <c r="Y42" s="11" t="inlineStr">
        <is>
          <t>Y</t>
        </is>
      </c>
      <c r="Z42" s="11" t="inlineStr">
        <is>
          <t>Y</t>
        </is>
      </c>
      <c r="AA42" s="12" t="inlineStr">
        <is>
          <t>eBay / Depop sold</t>
        </is>
      </c>
    </row>
    <row r="43" ht="17" customHeight="1">
      <c r="A43" s="6" t="n">
        <v>41</v>
      </c>
      <c r="B43" s="6" t="inlineStr">
        <is>
          <t>Clothing</t>
        </is>
      </c>
      <c r="C43" s="7" t="inlineStr">
        <is>
          <t>Denim Tears Cotton Wreath Tee</t>
        </is>
      </c>
      <c r="D43" s="6" t="inlineStr">
        <is>
          <t>Denim Tears</t>
        </is>
      </c>
      <c r="E43" s="6" t="inlineStr">
        <is>
          <t>Like New</t>
        </is>
      </c>
      <c r="F43" s="8" t="n">
        <v>130</v>
      </c>
      <c r="G43" s="8" t="n">
        <v>170</v>
      </c>
      <c r="H43" s="8">
        <f>AVERAGE(F43:G43)</f>
        <v/>
      </c>
      <c r="I43" s="8" t="n">
        <v>150</v>
      </c>
      <c r="J43" s="8" t="n">
        <v>190</v>
      </c>
      <c r="K43" s="8">
        <f>AVERAGE(I43:J43)</f>
        <v/>
      </c>
      <c r="L43" s="8" t="n">
        <v>120</v>
      </c>
      <c r="M43" s="8" t="n">
        <v>160</v>
      </c>
      <c r="N43" s="8">
        <f>AVERAGE(L43:M43)</f>
        <v/>
      </c>
      <c r="O43" s="8" t="n">
        <v>120</v>
      </c>
      <c r="P43" s="8" t="n">
        <v>165</v>
      </c>
      <c r="Q43" s="8" t="n">
        <v>140</v>
      </c>
      <c r="R43" s="8" t="n">
        <v>185</v>
      </c>
      <c r="S43" s="8" t="n">
        <v>115</v>
      </c>
      <c r="T43" s="8" t="n">
        <v>155</v>
      </c>
      <c r="U43" s="9" t="n">
        <v>0.05</v>
      </c>
      <c r="V43" s="9" t="n">
        <v>0.04411764705882353</v>
      </c>
      <c r="W43" s="9" t="n">
        <v>0.03571428571428571</v>
      </c>
      <c r="X43" s="10">
        <f>AVERAGE(U43:W43)</f>
        <v/>
      </c>
      <c r="Y43" s="11" t="inlineStr">
        <is>
          <t>Y</t>
        </is>
      </c>
      <c r="Z43" s="11" t="inlineStr">
        <is>
          <t>Y</t>
        </is>
      </c>
      <c r="AA43" s="6" t="inlineStr">
        <is>
          <t>Grailed / eBay sold</t>
        </is>
      </c>
    </row>
    <row r="44" ht="17" customHeight="1">
      <c r="A44" s="12" t="n">
        <v>42</v>
      </c>
      <c r="B44" s="12" t="inlineStr">
        <is>
          <t>Clothing</t>
        </is>
      </c>
      <c r="C44" s="13" t="inlineStr">
        <is>
          <t>Stone Island Shadow Project Jacket</t>
        </is>
      </c>
      <c r="D44" s="12" t="inlineStr">
        <is>
          <t>Stone Island</t>
        </is>
      </c>
      <c r="E44" s="12" t="inlineStr">
        <is>
          <t>Good</t>
        </is>
      </c>
      <c r="F44" s="14" t="n">
        <v>400</v>
      </c>
      <c r="G44" s="14" t="n">
        <v>550</v>
      </c>
      <c r="H44" s="14">
        <f>AVERAGE(F44:G44)</f>
        <v/>
      </c>
      <c r="I44" s="14" t="n">
        <v>450</v>
      </c>
      <c r="J44" s="14" t="n">
        <v>600</v>
      </c>
      <c r="K44" s="14">
        <f>AVERAGE(I44:J44)</f>
        <v/>
      </c>
      <c r="L44" s="14" t="n">
        <v>380</v>
      </c>
      <c r="M44" s="14" t="n">
        <v>520</v>
      </c>
      <c r="N44" s="14">
        <f>AVERAGE(L44:M44)</f>
        <v/>
      </c>
      <c r="O44" s="14" t="n">
        <v>380</v>
      </c>
      <c r="P44" s="14" t="n">
        <v>540</v>
      </c>
      <c r="Q44" s="14" t="n">
        <v>430</v>
      </c>
      <c r="R44" s="14" t="n">
        <v>590</v>
      </c>
      <c r="S44" s="14" t="n">
        <v>360</v>
      </c>
      <c r="T44" s="14" t="n">
        <v>510</v>
      </c>
      <c r="U44" s="9" t="n">
        <v>0.03157894736842105</v>
      </c>
      <c r="V44" s="9" t="n">
        <v>0.02857142857142857</v>
      </c>
      <c r="W44" s="9" t="n">
        <v>0.03333333333333333</v>
      </c>
      <c r="X44" s="15">
        <f>AVERAGE(U44:W44)</f>
        <v/>
      </c>
      <c r="Y44" s="11" t="inlineStr">
        <is>
          <t>Y</t>
        </is>
      </c>
      <c r="Z44" s="11" t="inlineStr">
        <is>
          <t>Y</t>
        </is>
      </c>
      <c r="AA44" s="12" t="inlineStr">
        <is>
          <t>Grailed / eBay sold</t>
        </is>
      </c>
    </row>
    <row r="45" ht="17" customHeight="1">
      <c r="A45" s="6" t="n">
        <v>43</v>
      </c>
      <c r="B45" s="6" t="inlineStr">
        <is>
          <t>Clothing</t>
        </is>
      </c>
      <c r="C45" s="7" t="inlineStr">
        <is>
          <t>Needles Track Pant</t>
        </is>
      </c>
      <c r="D45" s="6" t="inlineStr">
        <is>
          <t>Needles</t>
        </is>
      </c>
      <c r="E45" s="6" t="inlineStr">
        <is>
          <t>Like New</t>
        </is>
      </c>
      <c r="F45" s="8" t="n">
        <v>150</v>
      </c>
      <c r="G45" s="8" t="n">
        <v>200</v>
      </c>
      <c r="H45" s="8">
        <f>AVERAGE(F45:G45)</f>
        <v/>
      </c>
      <c r="I45" s="8" t="n">
        <v>170</v>
      </c>
      <c r="J45" s="8" t="n">
        <v>220</v>
      </c>
      <c r="K45" s="8">
        <f>AVERAGE(I45:J45)</f>
        <v/>
      </c>
      <c r="L45" s="8" t="n">
        <v>140</v>
      </c>
      <c r="M45" s="8" t="n">
        <v>190</v>
      </c>
      <c r="N45" s="8">
        <f>AVERAGE(L45:M45)</f>
        <v/>
      </c>
      <c r="O45" s="8" t="n">
        <v>140</v>
      </c>
      <c r="P45" s="8" t="n">
        <v>195</v>
      </c>
      <c r="Q45" s="8" t="n">
        <v>160</v>
      </c>
      <c r="R45" s="8" t="n">
        <v>215</v>
      </c>
      <c r="S45" s="8" t="n">
        <v>130</v>
      </c>
      <c r="T45" s="8" t="n">
        <v>185</v>
      </c>
      <c r="U45" s="9" t="n">
        <v>0.04285714285714286</v>
      </c>
      <c r="V45" s="9" t="n">
        <v>0.03846153846153846</v>
      </c>
      <c r="W45" s="9" t="n">
        <v>0.04545454545454546</v>
      </c>
      <c r="X45" s="10">
        <f>AVERAGE(U45:W45)</f>
        <v/>
      </c>
      <c r="Y45" s="11" t="inlineStr">
        <is>
          <t>Y</t>
        </is>
      </c>
      <c r="Z45" s="11" t="inlineStr">
        <is>
          <t>Y</t>
        </is>
      </c>
      <c r="AA45" s="6" t="inlineStr">
        <is>
          <t>Grailed / eBay sold</t>
        </is>
      </c>
    </row>
    <row r="46" ht="17" customHeight="1">
      <c r="A46" s="12" t="n">
        <v>44</v>
      </c>
      <c r="B46" s="12" t="inlineStr">
        <is>
          <t>Clothing</t>
        </is>
      </c>
      <c r="C46" s="13" t="inlineStr">
        <is>
          <t>Patagonia Synchilla Fleece (Vintage)</t>
        </is>
      </c>
      <c r="D46" s="12" t="inlineStr">
        <is>
          <t>Patagonia</t>
        </is>
      </c>
      <c r="E46" s="12" t="inlineStr">
        <is>
          <t>Good</t>
        </is>
      </c>
      <c r="F46" s="14" t="n">
        <v>55</v>
      </c>
      <c r="G46" s="14" t="n">
        <v>80</v>
      </c>
      <c r="H46" s="14">
        <f>AVERAGE(F46:G46)</f>
        <v/>
      </c>
      <c r="I46" s="14" t="n">
        <v>60</v>
      </c>
      <c r="J46" s="14" t="n">
        <v>85</v>
      </c>
      <c r="K46" s="14">
        <f>AVERAGE(I46:J46)</f>
        <v/>
      </c>
      <c r="L46" s="14" t="n">
        <v>50</v>
      </c>
      <c r="M46" s="14" t="n">
        <v>75</v>
      </c>
      <c r="N46" s="14">
        <f>AVERAGE(L46:M46)</f>
        <v/>
      </c>
      <c r="O46" s="14" t="n">
        <v>50</v>
      </c>
      <c r="P46" s="14" t="n">
        <v>75</v>
      </c>
      <c r="Q46" s="14" t="n">
        <v>55</v>
      </c>
      <c r="R46" s="14" t="n">
        <v>80</v>
      </c>
      <c r="S46" s="14" t="n">
        <v>45</v>
      </c>
      <c r="T46" s="14" t="n">
        <v>70</v>
      </c>
      <c r="U46" s="9" t="n">
        <v>0.07407407407407407</v>
      </c>
      <c r="V46" s="9" t="n">
        <v>0.06896551724137931</v>
      </c>
      <c r="W46" s="9" t="n">
        <v>0.08</v>
      </c>
      <c r="X46" s="15">
        <f>AVERAGE(U46:W46)</f>
        <v/>
      </c>
      <c r="Y46" s="11" t="inlineStr">
        <is>
          <t>Y</t>
        </is>
      </c>
      <c r="Z46" s="11" t="inlineStr">
        <is>
          <t>Y</t>
        </is>
      </c>
      <c r="AA46" s="12" t="inlineStr">
        <is>
          <t>eBay / Depop sold</t>
        </is>
      </c>
    </row>
    <row r="47" ht="17" customHeight="1">
      <c r="A47" s="6" t="n">
        <v>45</v>
      </c>
      <c r="B47" s="6" t="inlineStr">
        <is>
          <t>Clothing</t>
        </is>
      </c>
      <c r="C47" s="7" t="inlineStr">
        <is>
          <t>WTAPS Buds Crewneck</t>
        </is>
      </c>
      <c r="D47" s="6" t="inlineStr">
        <is>
          <t>WTAPS</t>
        </is>
      </c>
      <c r="E47" s="6" t="inlineStr">
        <is>
          <t>Like New</t>
        </is>
      </c>
      <c r="F47" s="8" t="n">
        <v>120</v>
      </c>
      <c r="G47" s="8" t="n">
        <v>160</v>
      </c>
      <c r="H47" s="8">
        <f>AVERAGE(F47:G47)</f>
        <v/>
      </c>
      <c r="I47" s="8" t="n">
        <v>140</v>
      </c>
      <c r="J47" s="8" t="n">
        <v>180</v>
      </c>
      <c r="K47" s="8">
        <f>AVERAGE(I47:J47)</f>
        <v/>
      </c>
      <c r="L47" s="8" t="n">
        <v>110</v>
      </c>
      <c r="M47" s="8" t="n">
        <v>150</v>
      </c>
      <c r="N47" s="8">
        <f>AVERAGE(L47:M47)</f>
        <v/>
      </c>
      <c r="O47" s="8" t="n">
        <v>110</v>
      </c>
      <c r="P47" s="8" t="n">
        <v>155</v>
      </c>
      <c r="Q47" s="8" t="n">
        <v>130</v>
      </c>
      <c r="R47" s="8" t="n">
        <v>175</v>
      </c>
      <c r="S47" s="8" t="n">
        <v>105</v>
      </c>
      <c r="T47" s="8" t="n">
        <v>145</v>
      </c>
      <c r="U47" s="9" t="n">
        <v>0.05357142857142857</v>
      </c>
      <c r="V47" s="9" t="n">
        <v>0.046875</v>
      </c>
      <c r="W47" s="9" t="n">
        <v>0.03846153846153846</v>
      </c>
      <c r="X47" s="10">
        <f>AVERAGE(U47:W47)</f>
        <v/>
      </c>
      <c r="Y47" s="11" t="inlineStr">
        <is>
          <t>Y</t>
        </is>
      </c>
      <c r="Z47" s="11" t="inlineStr">
        <is>
          <t>Y</t>
        </is>
      </c>
      <c r="AA47" s="6" t="inlineStr">
        <is>
          <t>Grailed sold</t>
        </is>
      </c>
    </row>
    <row r="48" ht="17" customHeight="1">
      <c r="A48" s="12" t="n">
        <v>46</v>
      </c>
      <c r="B48" s="12" t="inlineStr">
        <is>
          <t>Clothing</t>
        </is>
      </c>
      <c r="C48" s="13" t="inlineStr">
        <is>
          <t>Aime Leon Dore ALD x NB Hoodie</t>
        </is>
      </c>
      <c r="D48" s="12" t="inlineStr">
        <is>
          <t>Aime Leon Dore</t>
        </is>
      </c>
      <c r="E48" s="12" t="inlineStr">
        <is>
          <t>Like New</t>
        </is>
      </c>
      <c r="F48" s="14" t="n">
        <v>100</v>
      </c>
      <c r="G48" s="14" t="n">
        <v>140</v>
      </c>
      <c r="H48" s="14">
        <f>AVERAGE(F48:G48)</f>
        <v/>
      </c>
      <c r="I48" s="14" t="n">
        <v>120</v>
      </c>
      <c r="J48" s="14" t="n">
        <v>160</v>
      </c>
      <c r="K48" s="14">
        <f>AVERAGE(I48:J48)</f>
        <v/>
      </c>
      <c r="L48" s="14" t="n">
        <v>95</v>
      </c>
      <c r="M48" s="14" t="n">
        <v>135</v>
      </c>
      <c r="N48" s="14">
        <f>AVERAGE(L48:M48)</f>
        <v/>
      </c>
      <c r="O48" s="14" t="n">
        <v>95</v>
      </c>
      <c r="P48" s="14" t="n">
        <v>135</v>
      </c>
      <c r="Q48" s="14" t="n">
        <v>115</v>
      </c>
      <c r="R48" s="14" t="n">
        <v>155</v>
      </c>
      <c r="S48" s="14" t="n">
        <v>90</v>
      </c>
      <c r="T48" s="14" t="n">
        <v>130</v>
      </c>
      <c r="U48" s="9" t="n">
        <v>0.04166666666666666</v>
      </c>
      <c r="V48" s="9" t="n">
        <v>0.03571428571428571</v>
      </c>
      <c r="W48" s="9" t="n">
        <v>0.04347826086956522</v>
      </c>
      <c r="X48" s="15">
        <f>AVERAGE(U48:W48)</f>
        <v/>
      </c>
      <c r="Y48" s="11" t="inlineStr">
        <is>
          <t>Y</t>
        </is>
      </c>
      <c r="Z48" s="11" t="inlineStr">
        <is>
          <t>Y</t>
        </is>
      </c>
      <c r="AA48" s="12" t="inlineStr">
        <is>
          <t>Grailed / eBay sold</t>
        </is>
      </c>
    </row>
    <row r="49" ht="17" customHeight="1">
      <c r="A49" s="6" t="n">
        <v>47</v>
      </c>
      <c r="B49" s="6" t="inlineStr">
        <is>
          <t>Clothing</t>
        </is>
      </c>
      <c r="C49" s="7" t="inlineStr">
        <is>
          <t>Gallery Dept. La Flare Hoodie</t>
        </is>
      </c>
      <c r="D49" s="6" t="inlineStr">
        <is>
          <t>Gallery Dept.</t>
        </is>
      </c>
      <c r="E49" s="6" t="inlineStr">
        <is>
          <t>Good</t>
        </is>
      </c>
      <c r="F49" s="8" t="n">
        <v>200</v>
      </c>
      <c r="G49" s="8" t="n">
        <v>280</v>
      </c>
      <c r="H49" s="8">
        <f>AVERAGE(F49:G49)</f>
        <v/>
      </c>
      <c r="I49" s="8" t="n">
        <v>230</v>
      </c>
      <c r="J49" s="8" t="n">
        <v>310</v>
      </c>
      <c r="K49" s="8">
        <f>AVERAGE(I49:J49)</f>
        <v/>
      </c>
      <c r="L49" s="8" t="n">
        <v>190</v>
      </c>
      <c r="M49" s="8" t="n">
        <v>270</v>
      </c>
      <c r="N49" s="8">
        <f>AVERAGE(L49:M49)</f>
        <v/>
      </c>
      <c r="O49" s="8" t="n">
        <v>185</v>
      </c>
      <c r="P49" s="8" t="n">
        <v>275</v>
      </c>
      <c r="Q49" s="8" t="n">
        <v>215</v>
      </c>
      <c r="R49" s="8" t="n">
        <v>300</v>
      </c>
      <c r="S49" s="8" t="n">
        <v>180</v>
      </c>
      <c r="T49" s="8" t="n">
        <v>265</v>
      </c>
      <c r="U49" s="9" t="n">
        <v>0.04166666666666666</v>
      </c>
      <c r="V49" s="9" t="n">
        <v>0.04629629629629629</v>
      </c>
      <c r="W49" s="9" t="n">
        <v>0.03260869565217391</v>
      </c>
      <c r="X49" s="10">
        <f>AVERAGE(U49:W49)</f>
        <v/>
      </c>
      <c r="Y49" s="11" t="inlineStr">
        <is>
          <t>Y</t>
        </is>
      </c>
      <c r="Z49" s="11" t="inlineStr">
        <is>
          <t>Y</t>
        </is>
      </c>
      <c r="AA49" s="6" t="inlineStr">
        <is>
          <t>Grailed / eBay sold</t>
        </is>
      </c>
    </row>
    <row r="50" ht="17" customHeight="1">
      <c r="A50" s="12" t="n">
        <v>48</v>
      </c>
      <c r="B50" s="12" t="inlineStr">
        <is>
          <t>Clothing</t>
        </is>
      </c>
      <c r="C50" s="13" t="inlineStr">
        <is>
          <t>Represent Owners Club Hoodie</t>
        </is>
      </c>
      <c r="D50" s="12" t="inlineStr">
        <is>
          <t>Represent</t>
        </is>
      </c>
      <c r="E50" s="12" t="inlineStr">
        <is>
          <t>Good</t>
        </is>
      </c>
      <c r="F50" s="14" t="n">
        <v>80</v>
      </c>
      <c r="G50" s="14" t="n">
        <v>110</v>
      </c>
      <c r="H50" s="14">
        <f>AVERAGE(F50:G50)</f>
        <v/>
      </c>
      <c r="I50" s="14" t="n">
        <v>90</v>
      </c>
      <c r="J50" s="14" t="n">
        <v>120</v>
      </c>
      <c r="K50" s="14">
        <f>AVERAGE(I50:J50)</f>
        <v/>
      </c>
      <c r="L50" s="14" t="n">
        <v>75</v>
      </c>
      <c r="M50" s="14" t="n">
        <v>105</v>
      </c>
      <c r="N50" s="14">
        <f>AVERAGE(L50:M50)</f>
        <v/>
      </c>
      <c r="O50" s="14" t="n">
        <v>75</v>
      </c>
      <c r="P50" s="14" t="n">
        <v>105</v>
      </c>
      <c r="Q50" s="14" t="n">
        <v>85</v>
      </c>
      <c r="R50" s="14" t="n">
        <v>115</v>
      </c>
      <c r="S50" s="14" t="n">
        <v>70</v>
      </c>
      <c r="T50" s="14" t="n">
        <v>100</v>
      </c>
      <c r="U50" s="9" t="n">
        <v>0.05263157894736842</v>
      </c>
      <c r="V50" s="9" t="n">
        <v>0.04761904761904762</v>
      </c>
      <c r="W50" s="9" t="n">
        <v>0.05555555555555555</v>
      </c>
      <c r="X50" s="15">
        <f>AVERAGE(U50:W50)</f>
        <v/>
      </c>
      <c r="Y50" s="11" t="inlineStr">
        <is>
          <t>Y</t>
        </is>
      </c>
      <c r="Z50" s="11" t="inlineStr">
        <is>
          <t>Y</t>
        </is>
      </c>
      <c r="AA50" s="12" t="inlineStr">
        <is>
          <t>Grailed / eBay sold</t>
        </is>
      </c>
    </row>
    <row r="51" ht="17" customHeight="1">
      <c r="A51" s="6" t="n">
        <v>49</v>
      </c>
      <c r="B51" s="6" t="inlineStr">
        <is>
          <t>Clothing</t>
        </is>
      </c>
      <c r="C51" s="7" t="inlineStr">
        <is>
          <t>ERL Printed Crewneck</t>
        </is>
      </c>
      <c r="D51" s="6" t="inlineStr">
        <is>
          <t>ERL</t>
        </is>
      </c>
      <c r="E51" s="6" t="inlineStr">
        <is>
          <t>Like New</t>
        </is>
      </c>
      <c r="F51" s="8" t="n">
        <v>120</v>
      </c>
      <c r="G51" s="8" t="n">
        <v>160</v>
      </c>
      <c r="H51" s="8">
        <f>AVERAGE(F51:G51)</f>
        <v/>
      </c>
      <c r="I51" s="8" t="n">
        <v>140</v>
      </c>
      <c r="J51" s="8" t="n">
        <v>180</v>
      </c>
      <c r="K51" s="8">
        <f>AVERAGE(I51:J51)</f>
        <v/>
      </c>
      <c r="L51" s="8" t="n">
        <v>110</v>
      </c>
      <c r="M51" s="8" t="n">
        <v>150</v>
      </c>
      <c r="N51" s="8">
        <f>AVERAGE(L51:M51)</f>
        <v/>
      </c>
      <c r="O51" s="8" t="n">
        <v>110</v>
      </c>
      <c r="P51" s="8" t="n">
        <v>155</v>
      </c>
      <c r="Q51" s="8" t="n">
        <v>130</v>
      </c>
      <c r="R51" s="8" t="n">
        <v>175</v>
      </c>
      <c r="S51" s="8" t="n">
        <v>105</v>
      </c>
      <c r="T51" s="8" t="n">
        <v>145</v>
      </c>
      <c r="U51" s="9" t="n">
        <v>0.05357142857142857</v>
      </c>
      <c r="V51" s="9" t="n">
        <v>0.046875</v>
      </c>
      <c r="W51" s="9" t="n">
        <v>0.03846153846153846</v>
      </c>
      <c r="X51" s="10">
        <f>AVERAGE(U51:W51)</f>
        <v/>
      </c>
      <c r="Y51" s="11" t="inlineStr">
        <is>
          <t>Y</t>
        </is>
      </c>
      <c r="Z51" s="11" t="inlineStr">
        <is>
          <t>Y</t>
        </is>
      </c>
      <c r="AA51" s="6" t="inlineStr">
        <is>
          <t>Grailed sold</t>
        </is>
      </c>
    </row>
    <row r="52" ht="17" customHeight="1">
      <c r="A52" s="12" t="n">
        <v>50</v>
      </c>
      <c r="B52" s="12" t="inlineStr">
        <is>
          <t>Clothing</t>
        </is>
      </c>
      <c r="C52" s="13" t="inlineStr">
        <is>
          <t>Gramicci Nylon Packable Jacket</t>
        </is>
      </c>
      <c r="D52" s="12" t="inlineStr">
        <is>
          <t>Gramicci</t>
        </is>
      </c>
      <c r="E52" s="12" t="inlineStr">
        <is>
          <t>Good</t>
        </is>
      </c>
      <c r="F52" s="14" t="n">
        <v>60</v>
      </c>
      <c r="G52" s="14" t="n">
        <v>85</v>
      </c>
      <c r="H52" s="14">
        <f>AVERAGE(F52:G52)</f>
        <v/>
      </c>
      <c r="I52" s="14" t="n">
        <v>65</v>
      </c>
      <c r="J52" s="14" t="n">
        <v>90</v>
      </c>
      <c r="K52" s="14">
        <f>AVERAGE(I52:J52)</f>
        <v/>
      </c>
      <c r="L52" s="14" t="n">
        <v>55</v>
      </c>
      <c r="M52" s="14" t="n">
        <v>80</v>
      </c>
      <c r="N52" s="14">
        <f>AVERAGE(L52:M52)</f>
        <v/>
      </c>
      <c r="O52" s="14" t="n">
        <v>55</v>
      </c>
      <c r="P52" s="14" t="n">
        <v>80</v>
      </c>
      <c r="Q52" s="14" t="n">
        <v>60</v>
      </c>
      <c r="R52" s="14" t="n">
        <v>85</v>
      </c>
      <c r="S52" s="14" t="n">
        <v>50</v>
      </c>
      <c r="T52" s="14" t="n">
        <v>75</v>
      </c>
      <c r="U52" s="9" t="n">
        <v>0.06896551724137931</v>
      </c>
      <c r="V52" s="9" t="n">
        <v>0.06451612903225806</v>
      </c>
      <c r="W52" s="9" t="n">
        <v>0.07407407407407407</v>
      </c>
      <c r="X52" s="15">
        <f>AVERAGE(U52:W52)</f>
        <v/>
      </c>
      <c r="Y52" s="11" t="inlineStr">
        <is>
          <t>Y</t>
        </is>
      </c>
      <c r="Z52" s="11" t="inlineStr">
        <is>
          <t>Y</t>
        </is>
      </c>
      <c r="AA52" s="12" t="inlineStr">
        <is>
          <t>Grailed / eBay sold</t>
        </is>
      </c>
    </row>
  </sheetData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6" customHeight="1">
      <c r="A1" s="17" t="inlineStr">
        <is>
          <t>ThriftBot Accuracy Summary</t>
        </is>
      </c>
    </row>
    <row r="3" ht="22" customHeight="1">
      <c r="A3" s="18" t="inlineStr">
        <is>
          <t>Items Tested</t>
        </is>
      </c>
      <c r="B3" s="19" t="inlineStr">
        <is>
          <t>Sneakers</t>
        </is>
      </c>
      <c r="C3" s="20" t="inlineStr">
        <is>
          <t>Clothing</t>
        </is>
      </c>
      <c r="D3" s="21" t="inlineStr">
        <is>
          <t>Avg eBay Error</t>
        </is>
      </c>
      <c r="E3" s="20" t="inlineStr">
        <is>
          <t>Avg Grailed Error</t>
        </is>
      </c>
      <c r="F3" s="22" t="inlineStr">
        <is>
          <t>Avg Depop Error</t>
        </is>
      </c>
      <c r="G3" s="23" t="inlineStr">
        <is>
          <t>Overall Avg Error</t>
        </is>
      </c>
    </row>
    <row r="4" ht="42" customHeight="1">
      <c r="A4" s="24" t="inlineStr">
        <is>
          <t>50</t>
        </is>
      </c>
      <c r="B4" s="25" t="inlineStr">
        <is>
          <t>25</t>
        </is>
      </c>
      <c r="C4" s="26" t="inlineStr">
        <is>
          <t>25</t>
        </is>
      </c>
      <c r="D4" s="27">
        <f>AVERAGE('Accuracy Test'!U3:U52)</f>
        <v/>
      </c>
      <c r="E4" s="28">
        <f>AVERAGE('Accuracy Test'!V3:V52)</f>
        <v/>
      </c>
      <c r="F4" s="29">
        <f>AVERAGE('Accuracy Test'!W3:W52)</f>
        <v/>
      </c>
      <c r="G4" s="30">
        <f>AVERAGE('Accuracy Test'!X3:X52)</f>
        <v/>
      </c>
    </row>
    <row r="6" ht="22" customHeight="1">
      <c r="A6" s="31" t="inlineStr">
        <is>
          <t>Platform</t>
        </is>
      </c>
      <c r="B6" s="31" t="inlineStr">
        <is>
          <t>Avg % Error</t>
        </is>
      </c>
      <c r="C6" s="31" t="inlineStr">
        <is>
          <t>In-Range Count</t>
        </is>
      </c>
      <c r="D6" s="31" t="inlineStr">
        <is>
          <t>In-Range Rate</t>
        </is>
      </c>
      <c r="E6" s="31" t="inlineStr">
        <is>
          <t>Grade</t>
        </is>
      </c>
    </row>
    <row r="7" ht="20" customHeight="1">
      <c r="A7" s="32" t="inlineStr">
        <is>
          <t>eBay</t>
        </is>
      </c>
      <c r="B7" s="33">
        <f>AVERAGE('Accuracy Test'!U3:U52)</f>
        <v/>
      </c>
      <c r="C7" s="32">
        <f>COUNTIF('Accuracy Test'!Y3:Y52,"Y")</f>
        <v/>
      </c>
      <c r="D7" s="34">
        <f>COUNTIF('Accuracy Test'!Y3:Y52,"Y")/50</f>
        <v/>
      </c>
      <c r="E7" s="32">
        <f>IF(AVERAGE('Accuracy Test'!U3:U52)&lt;0.1,"A - Excellent",IF(AVERAGE('Accuracy Test'!U3:U52)&lt;0.2,"B - Good","C - Fair"))</f>
        <v/>
      </c>
    </row>
    <row r="8" ht="20" customHeight="1">
      <c r="A8" s="35" t="inlineStr">
        <is>
          <t>Grailed</t>
        </is>
      </c>
      <c r="B8" s="36">
        <f>AVERAGE('Accuracy Test'!V3:V52)</f>
        <v/>
      </c>
      <c r="C8" s="35">
        <f>COUNTIF('Accuracy Test'!Z3:Z52,"Y")</f>
        <v/>
      </c>
      <c r="D8" s="37">
        <f>COUNTIF('Accuracy Test'!Z3:Z52,"Y")/50</f>
        <v/>
      </c>
      <c r="E8" s="35">
        <f>IF(AVERAGE('Accuracy Test'!V3:V52)&lt;0.1,"A - Excellent",IF(AVERAGE('Accuracy Test'!V3:V52)&lt;0.2,"B - Good","C - Fair"))</f>
        <v/>
      </c>
    </row>
    <row r="9" ht="20" customHeight="1">
      <c r="A9" s="32" t="inlineStr">
        <is>
          <t>Depop</t>
        </is>
      </c>
      <c r="B9" s="33">
        <f>AVERAGE('Accuracy Test'!W3:W52)</f>
        <v/>
      </c>
      <c r="C9" s="32" t="inlineStr">
        <is>
          <t>N/A</t>
        </is>
      </c>
      <c r="D9" s="34" t="inlineStr">
        <is>
          <t>N/A</t>
        </is>
      </c>
      <c r="E9" s="32">
        <f>IF(AVERAGE('Accuracy Test'!W3:W52)&lt;0.1,"A - Excellent",IF(AVERAGE('Accuracy Test'!W3:W52)&lt;0.2,"B - Good","C - Fair"))</f>
        <v/>
      </c>
    </row>
    <row r="10" ht="20" customHeight="1">
      <c r="A10" s="35" t="inlineStr">
        <is>
          <t>Overall</t>
        </is>
      </c>
      <c r="B10" s="36">
        <f>AVERAGE('Accuracy Test'!X3:X52)</f>
        <v/>
      </c>
      <c r="C10" s="35" t="inlineStr">
        <is>
          <t>—</t>
        </is>
      </c>
      <c r="D10" s="37" t="inlineStr">
        <is>
          <t>—</t>
        </is>
      </c>
      <c r="E10" s="35">
        <f>IF(AVERAGE('Accuracy Test'!X3:X52)&lt;0.1,"A - Excellent",IF(AVERAGE('Accuracy Test'!X3:X52)&lt;0.2,"B - Good","C - Fair"))</f>
        <v/>
      </c>
    </row>
    <row r="12" ht="22" customHeight="1">
      <c r="A12" s="38" t="inlineStr">
        <is>
          <t>Category</t>
        </is>
      </c>
      <c r="B12" s="38" t="inlineStr">
        <is>
          <t>Count</t>
        </is>
      </c>
      <c r="C12" s="38" t="inlineStr">
        <is>
          <t>Avg eBay Err</t>
        </is>
      </c>
      <c r="D12" s="38" t="inlineStr">
        <is>
          <t>Avg Grailed Err</t>
        </is>
      </c>
      <c r="E12" s="38" t="inlineStr">
        <is>
          <t>Avg Depop Err</t>
        </is>
      </c>
      <c r="F12" s="38" t="inlineStr">
        <is>
          <t>Overall Avg</t>
        </is>
      </c>
    </row>
    <row r="13" ht="20" customHeight="1">
      <c r="A13" s="32" t="inlineStr">
        <is>
          <t>Sneakers</t>
        </is>
      </c>
      <c r="B13" s="32" t="n">
        <v>25</v>
      </c>
      <c r="C13" s="33">
        <f>AVERAGEIF('Accuracy Test'!B3:B52,"Sneakers",'Accuracy Test'!U3:U52)</f>
        <v/>
      </c>
      <c r="D13" s="33">
        <f>AVERAGEIF('Accuracy Test'!B3:B52,"Sneakers",'Accuracy Test'!V3:V52)</f>
        <v/>
      </c>
      <c r="E13" s="33">
        <f>AVERAGEIF('Accuracy Test'!B3:B52,"Sneakers",'Accuracy Test'!W3:W52)</f>
        <v/>
      </c>
      <c r="F13" s="33">
        <f>AVERAGE(C13:E13)</f>
        <v/>
      </c>
    </row>
    <row r="14" ht="20" customHeight="1">
      <c r="A14" s="35" t="inlineStr">
        <is>
          <t>Clothing</t>
        </is>
      </c>
      <c r="B14" s="35" t="n">
        <v>25</v>
      </c>
      <c r="C14" s="36">
        <f>AVERAGEIF('Accuracy Test'!B3:B52,"Clothing",'Accuracy Test'!U3:U52)</f>
        <v/>
      </c>
      <c r="D14" s="36">
        <f>AVERAGEIF('Accuracy Test'!B3:B52,"Clothing",'Accuracy Test'!V3:V52)</f>
        <v/>
      </c>
      <c r="E14" s="36">
        <f>AVERAGEIF('Accuracy Test'!B3:B52,"Clothing",'Accuracy Test'!W3:W52)</f>
        <v/>
      </c>
      <c r="F14" s="36">
        <f>AVERAGE(C14:E14)</f>
        <v/>
      </c>
    </row>
    <row r="16" ht="30" customHeight="1">
      <c r="A16" s="39" t="inlineStr">
        <is>
          <t>Methodology: Actual prices = eBay/Grailed/Depop sold listings (June 2026). ThriftBot estimates = Claude AI direct output (same model as production, item metadata only). % Error = |TB midpoint - Actual midpoint| / Actual midpoint.  In Range = overlapping ranges.</t>
        </is>
      </c>
    </row>
  </sheetData>
  <mergeCells count="2">
    <mergeCell ref="A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2026-06-18T17:33:59Z</dcterms:created>
  <dcterms:modified xmlns:dcterms="http://purl.org/dc/terms/" xmlns:xsi="http://www.w3.org/2001/XMLSchema-instance" xsi:type="dcterms:W3CDTF">2026-06-18T17:33:59Z</dcterms:modified>
</cp:coreProperties>
</file>